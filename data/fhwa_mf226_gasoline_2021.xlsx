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mobreco_vincent_epa_gov/Documents/GHG Inventory/State Level Data/FFC CO2 Inv State Breakout/2021 Calculations/FHWA Data/"/>
    </mc:Choice>
  </mc:AlternateContent>
  <xr:revisionPtr revIDLastSave="13" documentId="13_ncr:1_{D3C208E1-C49E-4068-ACD5-0A4CE1B6E7BE}" xr6:coauthVersionLast="47" xr6:coauthVersionMax="47" xr10:uidLastSave="{19AAF9F4-FE41-4662-AC89-3A3B9EE4FD3F}"/>
  <bookViews>
    <workbookView xWindow="28680" yWindow="-120" windowWidth="29040" windowHeight="15720" xr2:uid="{00000000-000D-0000-FFFF-FFFF00000000}"/>
  </bookViews>
  <sheets>
    <sheet name="Sheet2" sheetId="3" r:id="rId1"/>
    <sheet name="MF-226" sheetId="1" r:id="rId2"/>
    <sheet name="State Codes" sheetId="2" r:id="rId3"/>
  </sheets>
  <definedNames>
    <definedName name="_xlnm._FilterDatabase" localSheetId="2" hidden="1">'State Codes'!#REF!</definedName>
    <definedName name="_xlnm.Extract" localSheetId="2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1">'MF-226'!$A:$A</definedName>
    <definedName name="_xlnm.Print_Titles" localSheetId="2">'State Codes'!$1:$9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54" i="3" l="1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AH16" i="3"/>
  <c r="AG16" i="3"/>
  <c r="AF16" i="3"/>
  <c r="AF71" i="3" s="1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H5" i="3"/>
  <c r="AH60" i="3" s="1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H4" i="3"/>
  <c r="AG4" i="3"/>
  <c r="AF4" i="3"/>
  <c r="AE4" i="3"/>
  <c r="AD4" i="3"/>
  <c r="AC4" i="3"/>
  <c r="AB4" i="3"/>
  <c r="AA4" i="3"/>
  <c r="Z4" i="3"/>
  <c r="Y4" i="3"/>
  <c r="X4" i="3"/>
  <c r="W4" i="3"/>
  <c r="W57" i="3" s="1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AH3" i="3"/>
  <c r="AH55" i="3" s="1"/>
  <c r="AG3" i="3"/>
  <c r="AF3" i="3"/>
  <c r="AE3" i="3"/>
  <c r="AD3" i="3"/>
  <c r="AD55" i="3" s="1"/>
  <c r="AC3" i="3"/>
  <c r="AB3" i="3"/>
  <c r="AA3" i="3"/>
  <c r="Z3" i="3"/>
  <c r="Y3" i="3"/>
  <c r="X3" i="3"/>
  <c r="W3" i="3"/>
  <c r="V3" i="3"/>
  <c r="V55" i="3" s="1"/>
  <c r="U3" i="3"/>
  <c r="T3" i="3"/>
  <c r="S3" i="3"/>
  <c r="R3" i="3"/>
  <c r="Q3" i="3"/>
  <c r="P3" i="3"/>
  <c r="O3" i="3"/>
  <c r="N3" i="3"/>
  <c r="N55" i="3" s="1"/>
  <c r="M3" i="3"/>
  <c r="L3" i="3"/>
  <c r="K3" i="3"/>
  <c r="J3" i="3"/>
  <c r="I3" i="3"/>
  <c r="H3" i="3"/>
  <c r="G3" i="3"/>
  <c r="F3" i="3"/>
  <c r="F55" i="3" s="1"/>
  <c r="E3" i="3"/>
  <c r="D3" i="3"/>
  <c r="C3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AH69" i="3" s="1"/>
  <c r="B5" i="3"/>
  <c r="AH76" i="3" s="1"/>
  <c r="B4" i="3"/>
  <c r="B3" i="3"/>
  <c r="AH63" i="3" s="1"/>
  <c r="AH72" i="3"/>
  <c r="AH94" i="3"/>
  <c r="AH57" i="3"/>
  <c r="AH58" i="3"/>
  <c r="AH70" i="3"/>
  <c r="AH83" i="3"/>
  <c r="AH97" i="3"/>
  <c r="S91" i="3"/>
  <c r="W73" i="3"/>
  <c r="AA69" i="3"/>
  <c r="Y67" i="3"/>
  <c r="W65" i="3"/>
  <c r="AA61" i="3"/>
  <c r="Y59" i="3"/>
  <c r="T73" i="3"/>
  <c r="J70" i="3"/>
  <c r="L79" i="3"/>
  <c r="AG93" i="3" l="1"/>
  <c r="AH67" i="3"/>
  <c r="AE57" i="3"/>
  <c r="AG67" i="3"/>
  <c r="AH82" i="3"/>
  <c r="H58" i="3"/>
  <c r="X70" i="3"/>
  <c r="T62" i="3"/>
  <c r="C90" i="3"/>
  <c r="O82" i="3"/>
  <c r="Y64" i="3"/>
  <c r="P58" i="3"/>
  <c r="R60" i="3"/>
  <c r="N64" i="3"/>
  <c r="P66" i="3"/>
  <c r="R68" i="3"/>
  <c r="AG70" i="3"/>
  <c r="P76" i="3"/>
  <c r="AH105" i="3"/>
  <c r="AH91" i="3"/>
  <c r="AH78" i="3"/>
  <c r="AH66" i="3"/>
  <c r="AH104" i="3"/>
  <c r="AH87" i="3"/>
  <c r="D62" i="3"/>
  <c r="AG59" i="3"/>
  <c r="O70" i="3"/>
  <c r="AH93" i="3"/>
  <c r="L62" i="3"/>
  <c r="J68" i="3"/>
  <c r="AH92" i="3"/>
  <c r="D64" i="3"/>
  <c r="P64" i="3"/>
  <c r="Z64" i="3"/>
  <c r="X58" i="3"/>
  <c r="Z60" i="3"/>
  <c r="V64" i="3"/>
  <c r="X66" i="3"/>
  <c r="Z68" i="3"/>
  <c r="K71" i="3"/>
  <c r="H77" i="3"/>
  <c r="AH101" i="3"/>
  <c r="AH90" i="3"/>
  <c r="AH77" i="3"/>
  <c r="AH64" i="3"/>
  <c r="AH102" i="3"/>
  <c r="AH80" i="3"/>
  <c r="AH62" i="3"/>
  <c r="W64" i="3"/>
  <c r="AH68" i="3"/>
  <c r="L99" i="3"/>
  <c r="J60" i="3"/>
  <c r="AD74" i="3"/>
  <c r="AH88" i="3"/>
  <c r="T71" i="3"/>
  <c r="D73" i="3"/>
  <c r="G85" i="3"/>
  <c r="Q75" i="3"/>
  <c r="AA64" i="3"/>
  <c r="AF58" i="3"/>
  <c r="C61" i="3"/>
  <c r="AD64" i="3"/>
  <c r="AF66" i="3"/>
  <c r="C69" i="3"/>
  <c r="G72" i="3"/>
  <c r="AD77" i="3"/>
  <c r="AH100" i="3"/>
  <c r="AH86" i="3"/>
  <c r="AH75" i="3"/>
  <c r="AH61" i="3"/>
  <c r="AH103" i="3"/>
  <c r="AH79" i="3"/>
  <c r="K70" i="3"/>
  <c r="AE65" i="3"/>
  <c r="AH107" i="3"/>
  <c r="AH71" i="3"/>
  <c r="L70" i="3"/>
  <c r="F64" i="3"/>
  <c r="AH106" i="3"/>
  <c r="AH65" i="3"/>
  <c r="L75" i="3"/>
  <c r="H74" i="3"/>
  <c r="R75" i="3"/>
  <c r="AB64" i="3"/>
  <c r="G57" i="3"/>
  <c r="I59" i="3"/>
  <c r="K61" i="3"/>
  <c r="G65" i="3"/>
  <c r="I67" i="3"/>
  <c r="K69" i="3"/>
  <c r="Q72" i="3"/>
  <c r="AA84" i="3"/>
  <c r="AH99" i="3"/>
  <c r="AH85" i="3"/>
  <c r="AH74" i="3"/>
  <c r="AH96" i="3"/>
  <c r="D82" i="3"/>
  <c r="AB62" i="3"/>
  <c r="Q74" i="3"/>
  <c r="AH89" i="3"/>
  <c r="X64" i="3"/>
  <c r="H66" i="3"/>
  <c r="AH81" i="3"/>
  <c r="AB75" i="3"/>
  <c r="I74" i="3"/>
  <c r="S86" i="3"/>
  <c r="AE64" i="3"/>
  <c r="O57" i="3"/>
  <c r="Q59" i="3"/>
  <c r="S61" i="3"/>
  <c r="O65" i="3"/>
  <c r="Q67" i="3"/>
  <c r="S69" i="3"/>
  <c r="Z72" i="3"/>
  <c r="Y87" i="3"/>
  <c r="AH98" i="3"/>
  <c r="AH84" i="3"/>
  <c r="AH73" i="3"/>
  <c r="AH59" i="3"/>
  <c r="AH95" i="3"/>
  <c r="E106" i="3"/>
  <c r="E98" i="3"/>
  <c r="E90" i="3"/>
  <c r="E107" i="3"/>
  <c r="E99" i="3"/>
  <c r="E102" i="3"/>
  <c r="E94" i="3"/>
  <c r="E103" i="3"/>
  <c r="E96" i="3"/>
  <c r="E95" i="3"/>
  <c r="E91" i="3"/>
  <c r="E82" i="3"/>
  <c r="E104" i="3"/>
  <c r="E97" i="3"/>
  <c r="E85" i="3"/>
  <c r="E93" i="3"/>
  <c r="E89" i="3"/>
  <c r="E84" i="3"/>
  <c r="E77" i="3"/>
  <c r="E92" i="3"/>
  <c r="E88" i="3"/>
  <c r="E86" i="3"/>
  <c r="E78" i="3"/>
  <c r="E101" i="3"/>
  <c r="E100" i="3"/>
  <c r="E87" i="3"/>
  <c r="E79" i="3"/>
  <c r="E80" i="3"/>
  <c r="E105" i="3"/>
  <c r="E81" i="3"/>
  <c r="E75" i="3"/>
  <c r="E64" i="3"/>
  <c r="E55" i="3"/>
  <c r="E72" i="3"/>
  <c r="E65" i="3"/>
  <c r="E57" i="3"/>
  <c r="E66" i="3"/>
  <c r="E58" i="3"/>
  <c r="E67" i="3"/>
  <c r="E59" i="3"/>
  <c r="E83" i="3"/>
  <c r="E76" i="3"/>
  <c r="E71" i="3"/>
  <c r="E68" i="3"/>
  <c r="E60" i="3"/>
  <c r="E74" i="3"/>
  <c r="E69" i="3"/>
  <c r="E61" i="3"/>
  <c r="E73" i="3"/>
  <c r="E62" i="3"/>
  <c r="M106" i="3"/>
  <c r="M98" i="3"/>
  <c r="M90" i="3"/>
  <c r="M107" i="3"/>
  <c r="M99" i="3"/>
  <c r="M102" i="3"/>
  <c r="M94" i="3"/>
  <c r="M104" i="3"/>
  <c r="M97" i="3"/>
  <c r="M92" i="3"/>
  <c r="M103" i="3"/>
  <c r="M96" i="3"/>
  <c r="M88" i="3"/>
  <c r="M82" i="3"/>
  <c r="M105" i="3"/>
  <c r="M100" i="3"/>
  <c r="M95" i="3"/>
  <c r="M85" i="3"/>
  <c r="M81" i="3"/>
  <c r="M77" i="3"/>
  <c r="M101" i="3"/>
  <c r="M91" i="3"/>
  <c r="M83" i="3"/>
  <c r="M78" i="3"/>
  <c r="M84" i="3"/>
  <c r="M89" i="3"/>
  <c r="M86" i="3"/>
  <c r="M93" i="3"/>
  <c r="M87" i="3"/>
  <c r="M79" i="3"/>
  <c r="M75" i="3"/>
  <c r="M70" i="3"/>
  <c r="M64" i="3"/>
  <c r="M55" i="3"/>
  <c r="M76" i="3"/>
  <c r="M65" i="3"/>
  <c r="M57" i="3"/>
  <c r="M74" i="3"/>
  <c r="M72" i="3"/>
  <c r="M66" i="3"/>
  <c r="M58" i="3"/>
  <c r="M67" i="3"/>
  <c r="M59" i="3"/>
  <c r="M80" i="3"/>
  <c r="M68" i="3"/>
  <c r="M60" i="3"/>
  <c r="M71" i="3"/>
  <c r="M69" i="3"/>
  <c r="M61" i="3"/>
  <c r="M62" i="3"/>
  <c r="M73" i="3"/>
  <c r="U106" i="3"/>
  <c r="U98" i="3"/>
  <c r="U90" i="3"/>
  <c r="U107" i="3"/>
  <c r="U99" i="3"/>
  <c r="U102" i="3"/>
  <c r="U94" i="3"/>
  <c r="U105" i="3"/>
  <c r="U100" i="3"/>
  <c r="U93" i="3"/>
  <c r="U104" i="3"/>
  <c r="U97" i="3"/>
  <c r="U92" i="3"/>
  <c r="U82" i="3"/>
  <c r="U101" i="3"/>
  <c r="U103" i="3"/>
  <c r="U96" i="3"/>
  <c r="U89" i="3"/>
  <c r="U85" i="3"/>
  <c r="U88" i="3"/>
  <c r="U79" i="3"/>
  <c r="U77" i="3"/>
  <c r="U87" i="3"/>
  <c r="U80" i="3"/>
  <c r="U78" i="3"/>
  <c r="U95" i="3"/>
  <c r="U81" i="3"/>
  <c r="U83" i="3"/>
  <c r="U84" i="3"/>
  <c r="U86" i="3"/>
  <c r="U91" i="3"/>
  <c r="U75" i="3"/>
  <c r="U73" i="3"/>
  <c r="U64" i="3"/>
  <c r="U55" i="3"/>
  <c r="U70" i="3"/>
  <c r="U65" i="3"/>
  <c r="U57" i="3"/>
  <c r="U66" i="3"/>
  <c r="U58" i="3"/>
  <c r="U72" i="3"/>
  <c r="U67" i="3"/>
  <c r="U59" i="3"/>
  <c r="U68" i="3"/>
  <c r="U60" i="3"/>
  <c r="U74" i="3"/>
  <c r="U69" i="3"/>
  <c r="U61" i="3"/>
  <c r="U76" i="3"/>
  <c r="U71" i="3"/>
  <c r="U62" i="3"/>
  <c r="AC106" i="3"/>
  <c r="AC98" i="3"/>
  <c r="AC90" i="3"/>
  <c r="AC107" i="3"/>
  <c r="AC99" i="3"/>
  <c r="AC91" i="3"/>
  <c r="AC102" i="3"/>
  <c r="AC94" i="3"/>
  <c r="AC101" i="3"/>
  <c r="AC105" i="3"/>
  <c r="AC100" i="3"/>
  <c r="AC93" i="3"/>
  <c r="AC82" i="3"/>
  <c r="AC95" i="3"/>
  <c r="AC104" i="3"/>
  <c r="AC97" i="3"/>
  <c r="AC92" i="3"/>
  <c r="AC87" i="3"/>
  <c r="AC85" i="3"/>
  <c r="AC77" i="3"/>
  <c r="AC69" i="3"/>
  <c r="AC96" i="3"/>
  <c r="AC78" i="3"/>
  <c r="AC89" i="3"/>
  <c r="AC79" i="3"/>
  <c r="AC88" i="3"/>
  <c r="AC80" i="3"/>
  <c r="AC81" i="3"/>
  <c r="AC83" i="3"/>
  <c r="AC103" i="3"/>
  <c r="AC84" i="3"/>
  <c r="AC75" i="3"/>
  <c r="AC74" i="3"/>
  <c r="AC64" i="3"/>
  <c r="AC55" i="3"/>
  <c r="AC86" i="3"/>
  <c r="AC65" i="3"/>
  <c r="AC57" i="3"/>
  <c r="AC70" i="3"/>
  <c r="AC66" i="3"/>
  <c r="AC58" i="3"/>
  <c r="AC76" i="3"/>
  <c r="AC73" i="3"/>
  <c r="AC67" i="3"/>
  <c r="AC59" i="3"/>
  <c r="AC72" i="3"/>
  <c r="AC68" i="3"/>
  <c r="AC60" i="3"/>
  <c r="AC61" i="3"/>
  <c r="AC62" i="3"/>
  <c r="E63" i="3"/>
  <c r="M63" i="3"/>
  <c r="AC71" i="3"/>
  <c r="U63" i="3"/>
  <c r="AC63" i="3"/>
  <c r="E70" i="3"/>
  <c r="F107" i="3"/>
  <c r="F99" i="3"/>
  <c r="F91" i="3"/>
  <c r="F100" i="3"/>
  <c r="F92" i="3"/>
  <c r="F103" i="3"/>
  <c r="F95" i="3"/>
  <c r="F87" i="3"/>
  <c r="F102" i="3"/>
  <c r="F83" i="3"/>
  <c r="F104" i="3"/>
  <c r="F97" i="3"/>
  <c r="F106" i="3"/>
  <c r="F101" i="3"/>
  <c r="F94" i="3"/>
  <c r="F86" i="3"/>
  <c r="F98" i="3"/>
  <c r="F88" i="3"/>
  <c r="F85" i="3"/>
  <c r="F78" i="3"/>
  <c r="F70" i="3"/>
  <c r="F79" i="3"/>
  <c r="F80" i="3"/>
  <c r="F105" i="3"/>
  <c r="F81" i="3"/>
  <c r="F96" i="3"/>
  <c r="F90" i="3"/>
  <c r="F82" i="3"/>
  <c r="F76" i="3"/>
  <c r="N107" i="3"/>
  <c r="N99" i="3"/>
  <c r="N91" i="3"/>
  <c r="N100" i="3"/>
  <c r="N92" i="3"/>
  <c r="N103" i="3"/>
  <c r="N95" i="3"/>
  <c r="N87" i="3"/>
  <c r="N89" i="3"/>
  <c r="N83" i="3"/>
  <c r="N105" i="3"/>
  <c r="N98" i="3"/>
  <c r="N93" i="3"/>
  <c r="N102" i="3"/>
  <c r="N86" i="3"/>
  <c r="N101" i="3"/>
  <c r="N82" i="3"/>
  <c r="N78" i="3"/>
  <c r="N70" i="3"/>
  <c r="N90" i="3"/>
  <c r="N84" i="3"/>
  <c r="N104" i="3"/>
  <c r="N85" i="3"/>
  <c r="N94" i="3"/>
  <c r="N106" i="3"/>
  <c r="N88" i="3"/>
  <c r="N97" i="3"/>
  <c r="N96" i="3"/>
  <c r="N79" i="3"/>
  <c r="N80" i="3"/>
  <c r="N76" i="3"/>
  <c r="V107" i="3"/>
  <c r="V99" i="3"/>
  <c r="V91" i="3"/>
  <c r="V100" i="3"/>
  <c r="V92" i="3"/>
  <c r="V103" i="3"/>
  <c r="V95" i="3"/>
  <c r="V87" i="3"/>
  <c r="V83" i="3"/>
  <c r="V106" i="3"/>
  <c r="V101" i="3"/>
  <c r="V94" i="3"/>
  <c r="V96" i="3"/>
  <c r="V90" i="3"/>
  <c r="V86" i="3"/>
  <c r="V80" i="3"/>
  <c r="V78" i="3"/>
  <c r="V70" i="3"/>
  <c r="V105" i="3"/>
  <c r="V104" i="3"/>
  <c r="V81" i="3"/>
  <c r="V93" i="3"/>
  <c r="V82" i="3"/>
  <c r="V84" i="3"/>
  <c r="V73" i="3"/>
  <c r="V98" i="3"/>
  <c r="V97" i="3"/>
  <c r="V85" i="3"/>
  <c r="V89" i="3"/>
  <c r="V76" i="3"/>
  <c r="AD107" i="3"/>
  <c r="AD99" i="3"/>
  <c r="AD91" i="3"/>
  <c r="AD100" i="3"/>
  <c r="AD92" i="3"/>
  <c r="AD103" i="3"/>
  <c r="AD95" i="3"/>
  <c r="AD87" i="3"/>
  <c r="AD106" i="3"/>
  <c r="AD96" i="3"/>
  <c r="AD83" i="3"/>
  <c r="AD102" i="3"/>
  <c r="AD104" i="3"/>
  <c r="AD97" i="3"/>
  <c r="AD88" i="3"/>
  <c r="AD86" i="3"/>
  <c r="AD78" i="3"/>
  <c r="AD105" i="3"/>
  <c r="AD93" i="3"/>
  <c r="AD90" i="3"/>
  <c r="AD70" i="3"/>
  <c r="AD89" i="3"/>
  <c r="AD79" i="3"/>
  <c r="AD80" i="3"/>
  <c r="AD98" i="3"/>
  <c r="AD81" i="3"/>
  <c r="AD73" i="3"/>
  <c r="AD101" i="3"/>
  <c r="AD82" i="3"/>
  <c r="AD84" i="3"/>
  <c r="AD85" i="3"/>
  <c r="AD76" i="3"/>
  <c r="G55" i="3"/>
  <c r="O55" i="3"/>
  <c r="W55" i="3"/>
  <c r="AE55" i="3"/>
  <c r="H57" i="3"/>
  <c r="P57" i="3"/>
  <c r="X57" i="3"/>
  <c r="AF57" i="3"/>
  <c r="I58" i="3"/>
  <c r="Q58" i="3"/>
  <c r="Y58" i="3"/>
  <c r="AG58" i="3"/>
  <c r="J59" i="3"/>
  <c r="R59" i="3"/>
  <c r="Z59" i="3"/>
  <c r="C60" i="3"/>
  <c r="K60" i="3"/>
  <c r="S60" i="3"/>
  <c r="AA60" i="3"/>
  <c r="D61" i="3"/>
  <c r="L61" i="3"/>
  <c r="T61" i="3"/>
  <c r="AB61" i="3"/>
  <c r="F63" i="3"/>
  <c r="N63" i="3"/>
  <c r="V63" i="3"/>
  <c r="AD63" i="3"/>
  <c r="G64" i="3"/>
  <c r="O64" i="3"/>
  <c r="H65" i="3"/>
  <c r="P65" i="3"/>
  <c r="X65" i="3"/>
  <c r="AF65" i="3"/>
  <c r="I66" i="3"/>
  <c r="Q66" i="3"/>
  <c r="Y66" i="3"/>
  <c r="AG66" i="3"/>
  <c r="J67" i="3"/>
  <c r="R67" i="3"/>
  <c r="Z67" i="3"/>
  <c r="C68" i="3"/>
  <c r="K68" i="3"/>
  <c r="S68" i="3"/>
  <c r="AA68" i="3"/>
  <c r="D69" i="3"/>
  <c r="L69" i="3"/>
  <c r="T69" i="3"/>
  <c r="AB69" i="3"/>
  <c r="G70" i="3"/>
  <c r="P70" i="3"/>
  <c r="Y70" i="3"/>
  <c r="C71" i="3"/>
  <c r="L71" i="3"/>
  <c r="AD71" i="3"/>
  <c r="I72" i="3"/>
  <c r="R72" i="3"/>
  <c r="AA72" i="3"/>
  <c r="N73" i="3"/>
  <c r="X73" i="3"/>
  <c r="F74" i="3"/>
  <c r="S74" i="3"/>
  <c r="AF74" i="3"/>
  <c r="N75" i="3"/>
  <c r="AD75" i="3"/>
  <c r="I77" i="3"/>
  <c r="AG77" i="3"/>
  <c r="V79" i="3"/>
  <c r="H88" i="3"/>
  <c r="L92" i="3"/>
  <c r="R100" i="3"/>
  <c r="G100" i="3"/>
  <c r="G92" i="3"/>
  <c r="G101" i="3"/>
  <c r="G93" i="3"/>
  <c r="G104" i="3"/>
  <c r="G96" i="3"/>
  <c r="G88" i="3"/>
  <c r="G105" i="3"/>
  <c r="G98" i="3"/>
  <c r="G97" i="3"/>
  <c r="G84" i="3"/>
  <c r="G107" i="3"/>
  <c r="G106" i="3"/>
  <c r="G99" i="3"/>
  <c r="G79" i="3"/>
  <c r="G86" i="3"/>
  <c r="G71" i="3"/>
  <c r="G87" i="3"/>
  <c r="G103" i="3"/>
  <c r="G102" i="3"/>
  <c r="G80" i="3"/>
  <c r="G74" i="3"/>
  <c r="G91" i="3"/>
  <c r="G81" i="3"/>
  <c r="G94" i="3"/>
  <c r="G90" i="3"/>
  <c r="G82" i="3"/>
  <c r="G95" i="3"/>
  <c r="G89" i="3"/>
  <c r="G83" i="3"/>
  <c r="G77" i="3"/>
  <c r="O100" i="3"/>
  <c r="O92" i="3"/>
  <c r="O101" i="3"/>
  <c r="O93" i="3"/>
  <c r="O104" i="3"/>
  <c r="O96" i="3"/>
  <c r="O88" i="3"/>
  <c r="O106" i="3"/>
  <c r="O99" i="3"/>
  <c r="O94" i="3"/>
  <c r="O105" i="3"/>
  <c r="O98" i="3"/>
  <c r="O90" i="3"/>
  <c r="O84" i="3"/>
  <c r="O91" i="3"/>
  <c r="O102" i="3"/>
  <c r="O95" i="3"/>
  <c r="O97" i="3"/>
  <c r="O79" i="3"/>
  <c r="O83" i="3"/>
  <c r="O71" i="3"/>
  <c r="O85" i="3"/>
  <c r="O103" i="3"/>
  <c r="O89" i="3"/>
  <c r="O86" i="3"/>
  <c r="O74" i="3"/>
  <c r="O87" i="3"/>
  <c r="O80" i="3"/>
  <c r="O81" i="3"/>
  <c r="O77" i="3"/>
  <c r="W100" i="3"/>
  <c r="W92" i="3"/>
  <c r="W101" i="3"/>
  <c r="W93" i="3"/>
  <c r="W104" i="3"/>
  <c r="W96" i="3"/>
  <c r="W88" i="3"/>
  <c r="W102" i="3"/>
  <c r="W95" i="3"/>
  <c r="W106" i="3"/>
  <c r="W99" i="3"/>
  <c r="W94" i="3"/>
  <c r="W87" i="3"/>
  <c r="W84" i="3"/>
  <c r="W103" i="3"/>
  <c r="W105" i="3"/>
  <c r="W98" i="3"/>
  <c r="W91" i="3"/>
  <c r="W79" i="3"/>
  <c r="W81" i="3"/>
  <c r="W71" i="3"/>
  <c r="W82" i="3"/>
  <c r="W83" i="3"/>
  <c r="W97" i="3"/>
  <c r="W85" i="3"/>
  <c r="W74" i="3"/>
  <c r="W90" i="3"/>
  <c r="W86" i="3"/>
  <c r="W107" i="3"/>
  <c r="W89" i="3"/>
  <c r="W77" i="3"/>
  <c r="AE106" i="3"/>
  <c r="AE100" i="3"/>
  <c r="AE92" i="3"/>
  <c r="AE101" i="3"/>
  <c r="AE93" i="3"/>
  <c r="AE104" i="3"/>
  <c r="AE96" i="3"/>
  <c r="AE88" i="3"/>
  <c r="AE103" i="3"/>
  <c r="AE102" i="3"/>
  <c r="AE95" i="3"/>
  <c r="AE84" i="3"/>
  <c r="AE107" i="3"/>
  <c r="AE97" i="3"/>
  <c r="AE99" i="3"/>
  <c r="AE94" i="3"/>
  <c r="AE89" i="3"/>
  <c r="AE79" i="3"/>
  <c r="AE78" i="3"/>
  <c r="AE71" i="3"/>
  <c r="AE80" i="3"/>
  <c r="AE98" i="3"/>
  <c r="AE81" i="3"/>
  <c r="AE91" i="3"/>
  <c r="AE82" i="3"/>
  <c r="AE74" i="3"/>
  <c r="AE87" i="3"/>
  <c r="AE83" i="3"/>
  <c r="AE85" i="3"/>
  <c r="AE86" i="3"/>
  <c r="AE77" i="3"/>
  <c r="H55" i="3"/>
  <c r="P55" i="3"/>
  <c r="X55" i="3"/>
  <c r="AF55" i="3"/>
  <c r="I57" i="3"/>
  <c r="Q57" i="3"/>
  <c r="Y57" i="3"/>
  <c r="AG57" i="3"/>
  <c r="J58" i="3"/>
  <c r="R58" i="3"/>
  <c r="Z58" i="3"/>
  <c r="C59" i="3"/>
  <c r="K59" i="3"/>
  <c r="S59" i="3"/>
  <c r="AA59" i="3"/>
  <c r="D60" i="3"/>
  <c r="L60" i="3"/>
  <c r="T60" i="3"/>
  <c r="AB60" i="3"/>
  <c r="F62" i="3"/>
  <c r="N62" i="3"/>
  <c r="V62" i="3"/>
  <c r="AD62" i="3"/>
  <c r="G63" i="3"/>
  <c r="O63" i="3"/>
  <c r="W63" i="3"/>
  <c r="AE63" i="3"/>
  <c r="H64" i="3"/>
  <c r="AF64" i="3"/>
  <c r="I65" i="3"/>
  <c r="Q65" i="3"/>
  <c r="Y65" i="3"/>
  <c r="AG65" i="3"/>
  <c r="J66" i="3"/>
  <c r="R66" i="3"/>
  <c r="Z66" i="3"/>
  <c r="C67" i="3"/>
  <c r="K67" i="3"/>
  <c r="S67" i="3"/>
  <c r="AA67" i="3"/>
  <c r="D68" i="3"/>
  <c r="L68" i="3"/>
  <c r="T68" i="3"/>
  <c r="AB68" i="3"/>
  <c r="AD69" i="3"/>
  <c r="H70" i="3"/>
  <c r="Q70" i="3"/>
  <c r="Z70" i="3"/>
  <c r="D71" i="3"/>
  <c r="V71" i="3"/>
  <c r="J72" i="3"/>
  <c r="S72" i="3"/>
  <c r="AB72" i="3"/>
  <c r="F73" i="3"/>
  <c r="O73" i="3"/>
  <c r="Z73" i="3"/>
  <c r="AG74" i="3"/>
  <c r="O75" i="3"/>
  <c r="AE75" i="3"/>
  <c r="W76" i="3"/>
  <c r="N77" i="3"/>
  <c r="G78" i="3"/>
  <c r="AG79" i="3"/>
  <c r="Y82" i="3"/>
  <c r="R85" i="3"/>
  <c r="V88" i="3"/>
  <c r="F93" i="3"/>
  <c r="R101" i="3"/>
  <c r="H107" i="3"/>
  <c r="H101" i="3"/>
  <c r="H93" i="3"/>
  <c r="H102" i="3"/>
  <c r="H94" i="3"/>
  <c r="H105" i="3"/>
  <c r="H97" i="3"/>
  <c r="H89" i="3"/>
  <c r="H104" i="3"/>
  <c r="H85" i="3"/>
  <c r="H106" i="3"/>
  <c r="H99" i="3"/>
  <c r="H92" i="3"/>
  <c r="H103" i="3"/>
  <c r="H96" i="3"/>
  <c r="H87" i="3"/>
  <c r="H80" i="3"/>
  <c r="H72" i="3"/>
  <c r="H100" i="3"/>
  <c r="H79" i="3"/>
  <c r="H91" i="3"/>
  <c r="H81" i="3"/>
  <c r="H75" i="3"/>
  <c r="H90" i="3"/>
  <c r="H82" i="3"/>
  <c r="H95" i="3"/>
  <c r="H83" i="3"/>
  <c r="H84" i="3"/>
  <c r="H78" i="3"/>
  <c r="P107" i="3"/>
  <c r="P101" i="3"/>
  <c r="P93" i="3"/>
  <c r="P102" i="3"/>
  <c r="P94" i="3"/>
  <c r="P105" i="3"/>
  <c r="P97" i="3"/>
  <c r="P89" i="3"/>
  <c r="P91" i="3"/>
  <c r="P85" i="3"/>
  <c r="P100" i="3"/>
  <c r="P95" i="3"/>
  <c r="P104" i="3"/>
  <c r="P80" i="3"/>
  <c r="P90" i="3"/>
  <c r="P84" i="3"/>
  <c r="P72" i="3"/>
  <c r="P103" i="3"/>
  <c r="P86" i="3"/>
  <c r="P106" i="3"/>
  <c r="P88" i="3"/>
  <c r="P75" i="3"/>
  <c r="P96" i="3"/>
  <c r="P87" i="3"/>
  <c r="P79" i="3"/>
  <c r="P81" i="3"/>
  <c r="P99" i="3"/>
  <c r="P98" i="3"/>
  <c r="P92" i="3"/>
  <c r="P82" i="3"/>
  <c r="P78" i="3"/>
  <c r="X107" i="3"/>
  <c r="X101" i="3"/>
  <c r="X93" i="3"/>
  <c r="X102" i="3"/>
  <c r="X94" i="3"/>
  <c r="X105" i="3"/>
  <c r="X97" i="3"/>
  <c r="X89" i="3"/>
  <c r="X88" i="3"/>
  <c r="X85" i="3"/>
  <c r="X103" i="3"/>
  <c r="X96" i="3"/>
  <c r="X98" i="3"/>
  <c r="X80" i="3"/>
  <c r="X104" i="3"/>
  <c r="X87" i="3"/>
  <c r="X82" i="3"/>
  <c r="X72" i="3"/>
  <c r="X95" i="3"/>
  <c r="X83" i="3"/>
  <c r="X106" i="3"/>
  <c r="X84" i="3"/>
  <c r="X90" i="3"/>
  <c r="X86" i="3"/>
  <c r="X75" i="3"/>
  <c r="X92" i="3"/>
  <c r="X100" i="3"/>
  <c r="X99" i="3"/>
  <c r="X91" i="3"/>
  <c r="X79" i="3"/>
  <c r="X78" i="3"/>
  <c r="AF107" i="3"/>
  <c r="AF101" i="3"/>
  <c r="AF93" i="3"/>
  <c r="AF102" i="3"/>
  <c r="AF94" i="3"/>
  <c r="AF105" i="3"/>
  <c r="AF97" i="3"/>
  <c r="AF89" i="3"/>
  <c r="AF98" i="3"/>
  <c r="AF91" i="3"/>
  <c r="AF85" i="3"/>
  <c r="AF104" i="3"/>
  <c r="AF99" i="3"/>
  <c r="AF90" i="3"/>
  <c r="AF80" i="3"/>
  <c r="AF106" i="3"/>
  <c r="AF96" i="3"/>
  <c r="AF95" i="3"/>
  <c r="AF79" i="3"/>
  <c r="AF72" i="3"/>
  <c r="AF92" i="3"/>
  <c r="AF81" i="3"/>
  <c r="AF88" i="3"/>
  <c r="AF82" i="3"/>
  <c r="AF87" i="3"/>
  <c r="AF83" i="3"/>
  <c r="AF75" i="3"/>
  <c r="AF100" i="3"/>
  <c r="AF84" i="3"/>
  <c r="AF103" i="3"/>
  <c r="AF86" i="3"/>
  <c r="AF77" i="3"/>
  <c r="I55" i="3"/>
  <c r="Q55" i="3"/>
  <c r="Y55" i="3"/>
  <c r="AG55" i="3"/>
  <c r="J57" i="3"/>
  <c r="R57" i="3"/>
  <c r="Z57" i="3"/>
  <c r="C58" i="3"/>
  <c r="K58" i="3"/>
  <c r="S58" i="3"/>
  <c r="AA58" i="3"/>
  <c r="D59" i="3"/>
  <c r="L59" i="3"/>
  <c r="T59" i="3"/>
  <c r="AB59" i="3"/>
  <c r="F61" i="3"/>
  <c r="N61" i="3"/>
  <c r="V61" i="3"/>
  <c r="AD61" i="3"/>
  <c r="G62" i="3"/>
  <c r="O62" i="3"/>
  <c r="W62" i="3"/>
  <c r="AE62" i="3"/>
  <c r="H63" i="3"/>
  <c r="P63" i="3"/>
  <c r="X63" i="3"/>
  <c r="AF63" i="3"/>
  <c r="I64" i="3"/>
  <c r="Q64" i="3"/>
  <c r="AG64" i="3"/>
  <c r="J65" i="3"/>
  <c r="R65" i="3"/>
  <c r="Z65" i="3"/>
  <c r="C66" i="3"/>
  <c r="K66" i="3"/>
  <c r="S66" i="3"/>
  <c r="AA66" i="3"/>
  <c r="D67" i="3"/>
  <c r="L67" i="3"/>
  <c r="T67" i="3"/>
  <c r="AB67" i="3"/>
  <c r="F69" i="3"/>
  <c r="N69" i="3"/>
  <c r="V69" i="3"/>
  <c r="AE69" i="3"/>
  <c r="I70" i="3"/>
  <c r="R70" i="3"/>
  <c r="AA70" i="3"/>
  <c r="N71" i="3"/>
  <c r="X71" i="3"/>
  <c r="AG71" i="3"/>
  <c r="K72" i="3"/>
  <c r="T72" i="3"/>
  <c r="G73" i="3"/>
  <c r="P73" i="3"/>
  <c r="AB73" i="3"/>
  <c r="V74" i="3"/>
  <c r="D75" i="3"/>
  <c r="X76" i="3"/>
  <c r="P77" i="3"/>
  <c r="J78" i="3"/>
  <c r="AB85" i="3"/>
  <c r="F89" i="3"/>
  <c r="V102" i="3"/>
  <c r="I102" i="3"/>
  <c r="I94" i="3"/>
  <c r="I103" i="3"/>
  <c r="I95" i="3"/>
  <c r="I106" i="3"/>
  <c r="I98" i="3"/>
  <c r="I90" i="3"/>
  <c r="I100" i="3"/>
  <c r="I93" i="3"/>
  <c r="I91" i="3"/>
  <c r="I99" i="3"/>
  <c r="I92" i="3"/>
  <c r="I86" i="3"/>
  <c r="I107" i="3"/>
  <c r="I101" i="3"/>
  <c r="I96" i="3"/>
  <c r="I88" i="3"/>
  <c r="I81" i="3"/>
  <c r="I87" i="3"/>
  <c r="I73" i="3"/>
  <c r="I79" i="3"/>
  <c r="I80" i="3"/>
  <c r="I82" i="3"/>
  <c r="I76" i="3"/>
  <c r="I105" i="3"/>
  <c r="I104" i="3"/>
  <c r="I83" i="3"/>
  <c r="I89" i="3"/>
  <c r="I84" i="3"/>
  <c r="I78" i="3"/>
  <c r="I85" i="3"/>
  <c r="Q102" i="3"/>
  <c r="Q94" i="3"/>
  <c r="Q103" i="3"/>
  <c r="Q95" i="3"/>
  <c r="Q106" i="3"/>
  <c r="Q98" i="3"/>
  <c r="Q90" i="3"/>
  <c r="Q101" i="3"/>
  <c r="Q96" i="3"/>
  <c r="Q100" i="3"/>
  <c r="Q93" i="3"/>
  <c r="Q86" i="3"/>
  <c r="Q104" i="3"/>
  <c r="Q97" i="3"/>
  <c r="Q99" i="3"/>
  <c r="Q92" i="3"/>
  <c r="Q81" i="3"/>
  <c r="Q91" i="3"/>
  <c r="Q85" i="3"/>
  <c r="Q73" i="3"/>
  <c r="Q89" i="3"/>
  <c r="Q88" i="3"/>
  <c r="Q105" i="3"/>
  <c r="Q87" i="3"/>
  <c r="Q79" i="3"/>
  <c r="Q76" i="3"/>
  <c r="Q80" i="3"/>
  <c r="Q82" i="3"/>
  <c r="Q78" i="3"/>
  <c r="Q107" i="3"/>
  <c r="Q83" i="3"/>
  <c r="Y102" i="3"/>
  <c r="Y94" i="3"/>
  <c r="Y103" i="3"/>
  <c r="Y95" i="3"/>
  <c r="Y106" i="3"/>
  <c r="Y98" i="3"/>
  <c r="Y90" i="3"/>
  <c r="Y104" i="3"/>
  <c r="Y97" i="3"/>
  <c r="Y101" i="3"/>
  <c r="Y96" i="3"/>
  <c r="Y89" i="3"/>
  <c r="Y86" i="3"/>
  <c r="Y91" i="3"/>
  <c r="Y105" i="3"/>
  <c r="Y107" i="3"/>
  <c r="Y100" i="3"/>
  <c r="Y93" i="3"/>
  <c r="Y81" i="3"/>
  <c r="Y83" i="3"/>
  <c r="Y73" i="3"/>
  <c r="Y84" i="3"/>
  <c r="Y85" i="3"/>
  <c r="Y75" i="3"/>
  <c r="Y92" i="3"/>
  <c r="Y76" i="3"/>
  <c r="Y99" i="3"/>
  <c r="Y79" i="3"/>
  <c r="Y78" i="3"/>
  <c r="Y88" i="3"/>
  <c r="Y80" i="3"/>
  <c r="AG102" i="3"/>
  <c r="AG94" i="3"/>
  <c r="AG103" i="3"/>
  <c r="AG95" i="3"/>
  <c r="AG106" i="3"/>
  <c r="AG98" i="3"/>
  <c r="AG90" i="3"/>
  <c r="AG105" i="3"/>
  <c r="AG107" i="3"/>
  <c r="AG104" i="3"/>
  <c r="AG97" i="3"/>
  <c r="AG87" i="3"/>
  <c r="AG86" i="3"/>
  <c r="AG78" i="3"/>
  <c r="AG99" i="3"/>
  <c r="AG92" i="3"/>
  <c r="AG101" i="3"/>
  <c r="AG96" i="3"/>
  <c r="AG81" i="3"/>
  <c r="AG89" i="3"/>
  <c r="AG80" i="3"/>
  <c r="AG73" i="3"/>
  <c r="AG88" i="3"/>
  <c r="AG82" i="3"/>
  <c r="AG91" i="3"/>
  <c r="AG83" i="3"/>
  <c r="AG75" i="3"/>
  <c r="AG100" i="3"/>
  <c r="AG84" i="3"/>
  <c r="AG76" i="3"/>
  <c r="AG85" i="3"/>
  <c r="J55" i="3"/>
  <c r="R55" i="3"/>
  <c r="Z55" i="3"/>
  <c r="C57" i="3"/>
  <c r="K57" i="3"/>
  <c r="S57" i="3"/>
  <c r="AA57" i="3"/>
  <c r="D58" i="3"/>
  <c r="L58" i="3"/>
  <c r="T58" i="3"/>
  <c r="AB58" i="3"/>
  <c r="F60" i="3"/>
  <c r="N60" i="3"/>
  <c r="V60" i="3"/>
  <c r="AD60" i="3"/>
  <c r="G61" i="3"/>
  <c r="O61" i="3"/>
  <c r="W61" i="3"/>
  <c r="AE61" i="3"/>
  <c r="H62" i="3"/>
  <c r="P62" i="3"/>
  <c r="X62" i="3"/>
  <c r="AF62" i="3"/>
  <c r="I63" i="3"/>
  <c r="Q63" i="3"/>
  <c r="Y63" i="3"/>
  <c r="AG63" i="3"/>
  <c r="J64" i="3"/>
  <c r="R64" i="3"/>
  <c r="C65" i="3"/>
  <c r="K65" i="3"/>
  <c r="S65" i="3"/>
  <c r="AA65" i="3"/>
  <c r="D66" i="3"/>
  <c r="L66" i="3"/>
  <c r="T66" i="3"/>
  <c r="AB66" i="3"/>
  <c r="F68" i="3"/>
  <c r="N68" i="3"/>
  <c r="V68" i="3"/>
  <c r="AD68" i="3"/>
  <c r="G69" i="3"/>
  <c r="O69" i="3"/>
  <c r="W69" i="3"/>
  <c r="AF69" i="3"/>
  <c r="S70" i="3"/>
  <c r="AB70" i="3"/>
  <c r="F71" i="3"/>
  <c r="P71" i="3"/>
  <c r="Y71" i="3"/>
  <c r="C72" i="3"/>
  <c r="L72" i="3"/>
  <c r="AD72" i="3"/>
  <c r="H73" i="3"/>
  <c r="R73" i="3"/>
  <c r="K74" i="3"/>
  <c r="X74" i="3"/>
  <c r="F75" i="3"/>
  <c r="G76" i="3"/>
  <c r="Q77" i="3"/>
  <c r="O78" i="3"/>
  <c r="W80" i="3"/>
  <c r="P83" i="3"/>
  <c r="H86" i="3"/>
  <c r="S89" i="3"/>
  <c r="AD94" i="3"/>
  <c r="AB103" i="3"/>
  <c r="J103" i="3"/>
  <c r="J95" i="3"/>
  <c r="J87" i="3"/>
  <c r="J104" i="3"/>
  <c r="J96" i="3"/>
  <c r="J107" i="3"/>
  <c r="J99" i="3"/>
  <c r="J91" i="3"/>
  <c r="J106" i="3"/>
  <c r="J79" i="3"/>
  <c r="J101" i="3"/>
  <c r="J94" i="3"/>
  <c r="J105" i="3"/>
  <c r="J98" i="3"/>
  <c r="J89" i="3"/>
  <c r="J82" i="3"/>
  <c r="J100" i="3"/>
  <c r="J92" i="3"/>
  <c r="J74" i="3"/>
  <c r="J80" i="3"/>
  <c r="J102" i="3"/>
  <c r="J81" i="3"/>
  <c r="J76" i="3"/>
  <c r="J90" i="3"/>
  <c r="J83" i="3"/>
  <c r="J77" i="3"/>
  <c r="J84" i="3"/>
  <c r="J85" i="3"/>
  <c r="J97" i="3"/>
  <c r="J93" i="3"/>
  <c r="J88" i="3"/>
  <c r="J86" i="3"/>
  <c r="R103" i="3"/>
  <c r="R95" i="3"/>
  <c r="R87" i="3"/>
  <c r="R104" i="3"/>
  <c r="R96" i="3"/>
  <c r="R107" i="3"/>
  <c r="R99" i="3"/>
  <c r="R91" i="3"/>
  <c r="R79" i="3"/>
  <c r="R102" i="3"/>
  <c r="R97" i="3"/>
  <c r="R106" i="3"/>
  <c r="R82" i="3"/>
  <c r="R89" i="3"/>
  <c r="R86" i="3"/>
  <c r="R74" i="3"/>
  <c r="R88" i="3"/>
  <c r="R105" i="3"/>
  <c r="R94" i="3"/>
  <c r="R76" i="3"/>
  <c r="R80" i="3"/>
  <c r="R77" i="3"/>
  <c r="R93" i="3"/>
  <c r="R81" i="3"/>
  <c r="R98" i="3"/>
  <c r="R92" i="3"/>
  <c r="R83" i="3"/>
  <c r="R84" i="3"/>
  <c r="Z103" i="3"/>
  <c r="Z95" i="3"/>
  <c r="Z87" i="3"/>
  <c r="Z104" i="3"/>
  <c r="Z96" i="3"/>
  <c r="Z107" i="3"/>
  <c r="Z99" i="3"/>
  <c r="Z91" i="3"/>
  <c r="Z92" i="3"/>
  <c r="Z90" i="3"/>
  <c r="Z79" i="3"/>
  <c r="Z105" i="3"/>
  <c r="Z98" i="3"/>
  <c r="Z100" i="3"/>
  <c r="Z82" i="3"/>
  <c r="Z84" i="3"/>
  <c r="Z74" i="3"/>
  <c r="Z106" i="3"/>
  <c r="Z94" i="3"/>
  <c r="Z93" i="3"/>
  <c r="Z85" i="3"/>
  <c r="Z75" i="3"/>
  <c r="Z97" i="3"/>
  <c r="Z86" i="3"/>
  <c r="Z76" i="3"/>
  <c r="Z77" i="3"/>
  <c r="Z89" i="3"/>
  <c r="Z78" i="3"/>
  <c r="Z88" i="3"/>
  <c r="Z80" i="3"/>
  <c r="Z102" i="3"/>
  <c r="Z101" i="3"/>
  <c r="Z81" i="3"/>
  <c r="C55" i="3"/>
  <c r="K55" i="3"/>
  <c r="S55" i="3"/>
  <c r="AA55" i="3"/>
  <c r="D57" i="3"/>
  <c r="L57" i="3"/>
  <c r="T57" i="3"/>
  <c r="AB57" i="3"/>
  <c r="F59" i="3"/>
  <c r="N59" i="3"/>
  <c r="V59" i="3"/>
  <c r="AD59" i="3"/>
  <c r="G60" i="3"/>
  <c r="O60" i="3"/>
  <c r="W60" i="3"/>
  <c r="AE60" i="3"/>
  <c r="H61" i="3"/>
  <c r="P61" i="3"/>
  <c r="X61" i="3"/>
  <c r="AF61" i="3"/>
  <c r="I62" i="3"/>
  <c r="Q62" i="3"/>
  <c r="Y62" i="3"/>
  <c r="AG62" i="3"/>
  <c r="J63" i="3"/>
  <c r="R63" i="3"/>
  <c r="Z63" i="3"/>
  <c r="C64" i="3"/>
  <c r="K64" i="3"/>
  <c r="S64" i="3"/>
  <c r="D65" i="3"/>
  <c r="L65" i="3"/>
  <c r="T65" i="3"/>
  <c r="AB65" i="3"/>
  <c r="F67" i="3"/>
  <c r="N67" i="3"/>
  <c r="V67" i="3"/>
  <c r="AD67" i="3"/>
  <c r="G68" i="3"/>
  <c r="O68" i="3"/>
  <c r="W68" i="3"/>
  <c r="AE68" i="3"/>
  <c r="H69" i="3"/>
  <c r="P69" i="3"/>
  <c r="X69" i="3"/>
  <c r="AG69" i="3"/>
  <c r="T70" i="3"/>
  <c r="H71" i="3"/>
  <c r="Q71" i="3"/>
  <c r="Z71" i="3"/>
  <c r="D72" i="3"/>
  <c r="V72" i="3"/>
  <c r="AE72" i="3"/>
  <c r="J73" i="3"/>
  <c r="S73" i="3"/>
  <c r="AE73" i="3"/>
  <c r="Y74" i="3"/>
  <c r="G75" i="3"/>
  <c r="T75" i="3"/>
  <c r="H76" i="3"/>
  <c r="AE76" i="3"/>
  <c r="V77" i="3"/>
  <c r="R78" i="3"/>
  <c r="C81" i="3"/>
  <c r="Z83" i="3"/>
  <c r="D96" i="3"/>
  <c r="AB104" i="3"/>
  <c r="C104" i="3"/>
  <c r="C96" i="3"/>
  <c r="C88" i="3"/>
  <c r="C105" i="3"/>
  <c r="C97" i="3"/>
  <c r="C100" i="3"/>
  <c r="C92" i="3"/>
  <c r="C101" i="3"/>
  <c r="C94" i="3"/>
  <c r="C93" i="3"/>
  <c r="C89" i="3"/>
  <c r="C80" i="3"/>
  <c r="C102" i="3"/>
  <c r="C95" i="3"/>
  <c r="C107" i="3"/>
  <c r="C83" i="3"/>
  <c r="C82" i="3"/>
  <c r="C75" i="3"/>
  <c r="C99" i="3"/>
  <c r="C98" i="3"/>
  <c r="C84" i="3"/>
  <c r="C76" i="3"/>
  <c r="C85" i="3"/>
  <c r="C77" i="3"/>
  <c r="C86" i="3"/>
  <c r="C78" i="3"/>
  <c r="C87" i="3"/>
  <c r="C103" i="3"/>
  <c r="C106" i="3"/>
  <c r="C91" i="3"/>
  <c r="C79" i="3"/>
  <c r="K104" i="3"/>
  <c r="K96" i="3"/>
  <c r="K88" i="3"/>
  <c r="K105" i="3"/>
  <c r="K97" i="3"/>
  <c r="K100" i="3"/>
  <c r="K92" i="3"/>
  <c r="K102" i="3"/>
  <c r="K95" i="3"/>
  <c r="K107" i="3"/>
  <c r="K101" i="3"/>
  <c r="K94" i="3"/>
  <c r="K80" i="3"/>
  <c r="K103" i="3"/>
  <c r="K98" i="3"/>
  <c r="K93" i="3"/>
  <c r="K90" i="3"/>
  <c r="K83" i="3"/>
  <c r="K99" i="3"/>
  <c r="K79" i="3"/>
  <c r="K75" i="3"/>
  <c r="K81" i="3"/>
  <c r="K76" i="3"/>
  <c r="K91" i="3"/>
  <c r="K82" i="3"/>
  <c r="K77" i="3"/>
  <c r="K84" i="3"/>
  <c r="K78" i="3"/>
  <c r="K89" i="3"/>
  <c r="K85" i="3"/>
  <c r="K106" i="3"/>
  <c r="K86" i="3"/>
  <c r="S104" i="3"/>
  <c r="S96" i="3"/>
  <c r="S88" i="3"/>
  <c r="S105" i="3"/>
  <c r="S97" i="3"/>
  <c r="S100" i="3"/>
  <c r="S92" i="3"/>
  <c r="S107" i="3"/>
  <c r="S103" i="3"/>
  <c r="S98" i="3"/>
  <c r="S102" i="3"/>
  <c r="S95" i="3"/>
  <c r="S80" i="3"/>
  <c r="S106" i="3"/>
  <c r="S99" i="3"/>
  <c r="S101" i="3"/>
  <c r="S94" i="3"/>
  <c r="S87" i="3"/>
  <c r="S83" i="3"/>
  <c r="S75" i="3"/>
  <c r="S76" i="3"/>
  <c r="S79" i="3"/>
  <c r="S77" i="3"/>
  <c r="S93" i="3"/>
  <c r="S81" i="3"/>
  <c r="S78" i="3"/>
  <c r="S82" i="3"/>
  <c r="S84" i="3"/>
  <c r="S90" i="3"/>
  <c r="S85" i="3"/>
  <c r="AA104" i="3"/>
  <c r="AA96" i="3"/>
  <c r="AA88" i="3"/>
  <c r="AA105" i="3"/>
  <c r="AA97" i="3"/>
  <c r="AA106" i="3"/>
  <c r="AA100" i="3"/>
  <c r="AA92" i="3"/>
  <c r="AA99" i="3"/>
  <c r="AA103" i="3"/>
  <c r="AA98" i="3"/>
  <c r="AA91" i="3"/>
  <c r="AA80" i="3"/>
  <c r="AA93" i="3"/>
  <c r="AA107" i="3"/>
  <c r="AA102" i="3"/>
  <c r="AA95" i="3"/>
  <c r="AA83" i="3"/>
  <c r="AA94" i="3"/>
  <c r="AA85" i="3"/>
  <c r="AA75" i="3"/>
  <c r="AA86" i="3"/>
  <c r="AA76" i="3"/>
  <c r="AA90" i="3"/>
  <c r="AA77" i="3"/>
  <c r="AA89" i="3"/>
  <c r="AA78" i="3"/>
  <c r="AA79" i="3"/>
  <c r="AA101" i="3"/>
  <c r="AA81" i="3"/>
  <c r="AA87" i="3"/>
  <c r="AA82" i="3"/>
  <c r="AA73" i="3"/>
  <c r="D55" i="3"/>
  <c r="L55" i="3"/>
  <c r="T55" i="3"/>
  <c r="AB55" i="3"/>
  <c r="F58" i="3"/>
  <c r="N58" i="3"/>
  <c r="V58" i="3"/>
  <c r="AD58" i="3"/>
  <c r="G59" i="3"/>
  <c r="O59" i="3"/>
  <c r="W59" i="3"/>
  <c r="AE59" i="3"/>
  <c r="H60" i="3"/>
  <c r="P60" i="3"/>
  <c r="X60" i="3"/>
  <c r="AF60" i="3"/>
  <c r="I61" i="3"/>
  <c r="Q61" i="3"/>
  <c r="Y61" i="3"/>
  <c r="AG61" i="3"/>
  <c r="J62" i="3"/>
  <c r="R62" i="3"/>
  <c r="Z62" i="3"/>
  <c r="C63" i="3"/>
  <c r="K63" i="3"/>
  <c r="S63" i="3"/>
  <c r="AA63" i="3"/>
  <c r="L64" i="3"/>
  <c r="T64" i="3"/>
  <c r="F66" i="3"/>
  <c r="N66" i="3"/>
  <c r="V66" i="3"/>
  <c r="AD66" i="3"/>
  <c r="G67" i="3"/>
  <c r="O67" i="3"/>
  <c r="W67" i="3"/>
  <c r="AE67" i="3"/>
  <c r="H68" i="3"/>
  <c r="P68" i="3"/>
  <c r="X68" i="3"/>
  <c r="AF68" i="3"/>
  <c r="I69" i="3"/>
  <c r="Q69" i="3"/>
  <c r="Y69" i="3"/>
  <c r="C70" i="3"/>
  <c r="AE70" i="3"/>
  <c r="I71" i="3"/>
  <c r="R71" i="3"/>
  <c r="AA71" i="3"/>
  <c r="N72" i="3"/>
  <c r="W72" i="3"/>
  <c r="AG72" i="3"/>
  <c r="K73" i="3"/>
  <c r="AF73" i="3"/>
  <c r="N74" i="3"/>
  <c r="AA74" i="3"/>
  <c r="I75" i="3"/>
  <c r="V75" i="3"/>
  <c r="AF76" i="3"/>
  <c r="X77" i="3"/>
  <c r="W78" i="3"/>
  <c r="N81" i="3"/>
  <c r="F84" i="3"/>
  <c r="R90" i="3"/>
  <c r="I97" i="3"/>
  <c r="AE105" i="3"/>
  <c r="D105" i="3"/>
  <c r="D97" i="3"/>
  <c r="D89" i="3"/>
  <c r="D106" i="3"/>
  <c r="D98" i="3"/>
  <c r="D107" i="3"/>
  <c r="D101" i="3"/>
  <c r="D93" i="3"/>
  <c r="D100" i="3"/>
  <c r="D90" i="3"/>
  <c r="D81" i="3"/>
  <c r="D102" i="3"/>
  <c r="D95" i="3"/>
  <c r="D104" i="3"/>
  <c r="D99" i="3"/>
  <c r="D92" i="3"/>
  <c r="D84" i="3"/>
  <c r="D83" i="3"/>
  <c r="D76" i="3"/>
  <c r="D85" i="3"/>
  <c r="D77" i="3"/>
  <c r="D88" i="3"/>
  <c r="D86" i="3"/>
  <c r="D78" i="3"/>
  <c r="D87" i="3"/>
  <c r="D103" i="3"/>
  <c r="D91" i="3"/>
  <c r="D79" i="3"/>
  <c r="D94" i="3"/>
  <c r="D80" i="3"/>
  <c r="D74" i="3"/>
  <c r="L105" i="3"/>
  <c r="L97" i="3"/>
  <c r="L89" i="3"/>
  <c r="L106" i="3"/>
  <c r="L98" i="3"/>
  <c r="L107" i="3"/>
  <c r="L101" i="3"/>
  <c r="L93" i="3"/>
  <c r="L87" i="3"/>
  <c r="L81" i="3"/>
  <c r="L103" i="3"/>
  <c r="L96" i="3"/>
  <c r="L100" i="3"/>
  <c r="L91" i="3"/>
  <c r="L84" i="3"/>
  <c r="L80" i="3"/>
  <c r="L76" i="3"/>
  <c r="L102" i="3"/>
  <c r="L82" i="3"/>
  <c r="L77" i="3"/>
  <c r="L90" i="3"/>
  <c r="L83" i="3"/>
  <c r="L78" i="3"/>
  <c r="L104" i="3"/>
  <c r="L85" i="3"/>
  <c r="L95" i="3"/>
  <c r="L94" i="3"/>
  <c r="L86" i="3"/>
  <c r="L88" i="3"/>
  <c r="L74" i="3"/>
  <c r="T105" i="3"/>
  <c r="T97" i="3"/>
  <c r="T89" i="3"/>
  <c r="T106" i="3"/>
  <c r="T98" i="3"/>
  <c r="T107" i="3"/>
  <c r="T101" i="3"/>
  <c r="T93" i="3"/>
  <c r="T91" i="3"/>
  <c r="T81" i="3"/>
  <c r="T104" i="3"/>
  <c r="T99" i="3"/>
  <c r="T92" i="3"/>
  <c r="T94" i="3"/>
  <c r="T88" i="3"/>
  <c r="T84" i="3"/>
  <c r="T103" i="3"/>
  <c r="T102" i="3"/>
  <c r="T76" i="3"/>
  <c r="T79" i="3"/>
  <c r="T77" i="3"/>
  <c r="T87" i="3"/>
  <c r="T80" i="3"/>
  <c r="T78" i="3"/>
  <c r="T96" i="3"/>
  <c r="T95" i="3"/>
  <c r="T82" i="3"/>
  <c r="T83" i="3"/>
  <c r="T90" i="3"/>
  <c r="T85" i="3"/>
  <c r="T100" i="3"/>
  <c r="T86" i="3"/>
  <c r="T74" i="3"/>
  <c r="AB105" i="3"/>
  <c r="AB97" i="3"/>
  <c r="AB89" i="3"/>
  <c r="AB106" i="3"/>
  <c r="AB98" i="3"/>
  <c r="AB107" i="3"/>
  <c r="AB101" i="3"/>
  <c r="AB93" i="3"/>
  <c r="AB94" i="3"/>
  <c r="AB81" i="3"/>
  <c r="AB100" i="3"/>
  <c r="AB102" i="3"/>
  <c r="AB95" i="3"/>
  <c r="AB84" i="3"/>
  <c r="AB86" i="3"/>
  <c r="AB76" i="3"/>
  <c r="AB90" i="3"/>
  <c r="AB77" i="3"/>
  <c r="AB96" i="3"/>
  <c r="AB92" i="3"/>
  <c r="AB78" i="3"/>
  <c r="AB99" i="3"/>
  <c r="AB79" i="3"/>
  <c r="AB91" i="3"/>
  <c r="AB88" i="3"/>
  <c r="AB80" i="3"/>
  <c r="AB87" i="3"/>
  <c r="AB82" i="3"/>
  <c r="AB83" i="3"/>
  <c r="AB74" i="3"/>
  <c r="F57" i="3"/>
  <c r="N57" i="3"/>
  <c r="V57" i="3"/>
  <c r="AD57" i="3"/>
  <c r="G58" i="3"/>
  <c r="O58" i="3"/>
  <c r="W58" i="3"/>
  <c r="AE58" i="3"/>
  <c r="H59" i="3"/>
  <c r="P59" i="3"/>
  <c r="X59" i="3"/>
  <c r="AF59" i="3"/>
  <c r="I60" i="3"/>
  <c r="Q60" i="3"/>
  <c r="Y60" i="3"/>
  <c r="AG60" i="3"/>
  <c r="J61" i="3"/>
  <c r="R61" i="3"/>
  <c r="Z61" i="3"/>
  <c r="C62" i="3"/>
  <c r="K62" i="3"/>
  <c r="S62" i="3"/>
  <c r="AA62" i="3"/>
  <c r="D63" i="3"/>
  <c r="L63" i="3"/>
  <c r="T63" i="3"/>
  <c r="AB63" i="3"/>
  <c r="F65" i="3"/>
  <c r="N65" i="3"/>
  <c r="V65" i="3"/>
  <c r="AD65" i="3"/>
  <c r="G66" i="3"/>
  <c r="O66" i="3"/>
  <c r="W66" i="3"/>
  <c r="AE66" i="3"/>
  <c r="H67" i="3"/>
  <c r="P67" i="3"/>
  <c r="X67" i="3"/>
  <c r="AF67" i="3"/>
  <c r="I68" i="3"/>
  <c r="Q68" i="3"/>
  <c r="Y68" i="3"/>
  <c r="AG68" i="3"/>
  <c r="J69" i="3"/>
  <c r="R69" i="3"/>
  <c r="Z69" i="3"/>
  <c r="D70" i="3"/>
  <c r="W70" i="3"/>
  <c r="AF70" i="3"/>
  <c r="J71" i="3"/>
  <c r="S71" i="3"/>
  <c r="AB71" i="3"/>
  <c r="F72" i="3"/>
  <c r="O72" i="3"/>
  <c r="Y72" i="3"/>
  <c r="C73" i="3"/>
  <c r="L73" i="3"/>
  <c r="C74" i="3"/>
  <c r="P74" i="3"/>
  <c r="J75" i="3"/>
  <c r="W75" i="3"/>
  <c r="O76" i="3"/>
  <c r="F77" i="3"/>
  <c r="Y77" i="3"/>
  <c r="AF78" i="3"/>
  <c r="X81" i="3"/>
  <c r="Q84" i="3"/>
  <c r="K87" i="3"/>
  <c r="AE90" i="3"/>
  <c r="H98" i="3"/>
  <c r="O107" i="3"/>
  <c r="AH108" i="3" l="1"/>
  <c r="O108" i="3"/>
  <c r="W108" i="3"/>
  <c r="AE108" i="3"/>
  <c r="G108" i="3"/>
  <c r="D108" i="3"/>
  <c r="K108" i="3"/>
  <c r="AG108" i="3"/>
  <c r="M108" i="3"/>
  <c r="S108" i="3"/>
  <c r="C108" i="3"/>
  <c r="Y108" i="3"/>
  <c r="AF108" i="3"/>
  <c r="AC108" i="3"/>
  <c r="V108" i="3"/>
  <c r="R108" i="3"/>
  <c r="I108" i="3"/>
  <c r="P108" i="3"/>
  <c r="E108" i="3"/>
  <c r="AD108" i="3"/>
  <c r="N108" i="3"/>
  <c r="J108" i="3"/>
  <c r="H108" i="3"/>
  <c r="U108" i="3"/>
  <c r="Z108" i="3"/>
  <c r="Q108" i="3"/>
  <c r="X108" i="3"/>
  <c r="F108" i="3"/>
  <c r="AB108" i="3"/>
  <c r="L108" i="3"/>
  <c r="T108" i="3"/>
  <c r="AA108" i="3"/>
  <c r="BS10" i="1" l="1"/>
  <c r="BS53" i="1" s="1"/>
  <c r="BA53" i="1" l="1"/>
  <c r="BN53" i="1" l="1"/>
  <c r="B53" i="1" l="1"/>
  <c r="E53" i="1" l="1"/>
  <c r="D53" i="1"/>
  <c r="BL53" i="1"/>
  <c r="BK53" i="1"/>
  <c r="BJ53" i="1"/>
  <c r="BI53" i="1"/>
  <c r="BH53" i="1"/>
  <c r="BG53" i="1"/>
  <c r="BF53" i="1"/>
  <c r="BE53" i="1"/>
  <c r="BD53" i="1"/>
  <c r="BC53" i="1"/>
  <c r="BB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C53" i="1"/>
</calcChain>
</file>

<file path=xl/sharedStrings.xml><?xml version="1.0" encoding="utf-8"?>
<sst xmlns="http://schemas.openxmlformats.org/spreadsheetml/2006/main" count="275" uniqueCount="120">
  <si>
    <t>STATE</t>
  </si>
  <si>
    <t>Alabama</t>
  </si>
  <si>
    <t>Alaska</t>
  </si>
  <si>
    <t>Arizona</t>
  </si>
  <si>
    <t>Arkansas</t>
  </si>
  <si>
    <t>California</t>
  </si>
  <si>
    <t>Connecticut</t>
  </si>
  <si>
    <t>Delaware</t>
  </si>
  <si>
    <t>Dist. of Col.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</si>
  <si>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</si>
  <si>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</si>
  <si>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</si>
  <si>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</si>
  <si>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</si>
  <si>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</si>
  <si>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</si>
  <si>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</si>
  <si>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</si>
  <si>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</si>
  <si>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</si>
  <si>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</si>
  <si>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</si>
  <si>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</si>
  <si>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</si>
  <si>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</si>
  <si>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</si>
  <si>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</si>
  <si>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</si>
  <si>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</si>
  <si>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</si>
  <si>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</si>
  <si>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</si>
  <si>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</si>
  <si>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</si>
  <si>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</si>
  <si>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</si>
  <si>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</si>
  <si>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</si>
  <si>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</si>
  <si>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</si>
  <si>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</si>
  <si>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</si>
  <si>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</si>
  <si>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</si>
  <si>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</si>
  <si>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</si>
  <si>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</si>
  <si>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</si>
  <si>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Total</t>
  </si>
  <si>
    <t xml:space="preserve">      </t>
  </si>
  <si>
    <t>Source: Highway Statistics, various years, Table MF-21,  Column 5.</t>
  </si>
  <si>
    <t>State Energy Data System</t>
  </si>
  <si>
    <t>State Codes and Descriptions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</si>
  <si>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</si>
  <si>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</si>
  <si>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</si>
  <si>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State Name</t>
  </si>
  <si>
    <t>State Code</t>
  </si>
  <si>
    <t>AL</t>
  </si>
  <si>
    <t>AK</t>
  </si>
  <si>
    <t>AZ</t>
  </si>
  <si>
    <t>AR</t>
  </si>
  <si>
    <t>CA</t>
  </si>
  <si>
    <t>Colorado</t>
  </si>
  <si>
    <t>CO</t>
  </si>
  <si>
    <t>CT</t>
  </si>
  <si>
    <t>DE</t>
  </si>
  <si>
    <t>DC</t>
  </si>
  <si>
    <t>Federa Offshore, Pacific</t>
  </si>
  <si>
    <t>X5</t>
  </si>
  <si>
    <t>Federal Offshore, Gulf of Mexico</t>
  </si>
  <si>
    <t>X3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</si>
  <si>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</si>
  <si>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</si>
  <si>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</si>
  <si>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</si>
  <si>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</si>
  <si>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</si>
  <si>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</si>
  <si>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</si>
  <si>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</si>
  <si>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</si>
  <si>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</si>
  <si>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</si>
  <si>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Massachusetts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</si>
  <si>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</si>
  <si>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</si>
  <si>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</si>
  <si>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</si>
  <si>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</si>
  <si>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</si>
  <si>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</si>
  <si>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</si>
  <si>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</si>
  <si>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</si>
  <si>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</si>
  <si>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New York</t>
  </si>
  <si>
    <t>NY</t>
  </si>
  <si>
    <t>NC</t>
  </si>
  <si>
    <t>ND</t>
  </si>
  <si>
    <t>OH</t>
  </si>
  <si>
    <t>OK</t>
  </si>
  <si>
    <t>Oregon</t>
  </si>
  <si>
    <t>OR</t>
  </si>
  <si>
    <t>PA</t>
  </si>
  <si>
    <t>RI</t>
  </si>
  <si>
    <t>SC</t>
  </si>
  <si>
    <t>SD</t>
  </si>
  <si>
    <t>TN</t>
  </si>
  <si>
    <t>TX</t>
  </si>
  <si>
    <t>United States</t>
  </si>
  <si>
    <t>US</t>
  </si>
  <si>
    <t>UT</t>
  </si>
  <si>
    <t>VT</t>
  </si>
  <si>
    <t>VA</t>
  </si>
  <si>
    <t>WA</t>
  </si>
  <si>
    <t>WV</t>
  </si>
  <si>
    <t>WI</t>
  </si>
  <si>
    <t>WY</t>
  </si>
  <si>
    <t>Check: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</si>
</sst>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 &quot; -&quot;"/>
    <numFmt numFmtId="165" formatCode="_(* #,##0_);_(* \(#,##0\);_(* &quot;-&quot;??_);_(@_)"/>
    <numFmt numFmtId="166" formatCode="##,###"/>
    <numFmt numFmtId="167" formatCode="0.0%"/>
  </numFmts>
  <fonts count="17">
    <font>
      <sz val="11"/>
      <color theme="1"/>
      <name val="Calibri"/>
      <family val="2"/>
      <scheme val="minor"/>
    </font>
    <font>
      <sz val="6"/>
      <name val="P-AVGARD"/>
    </font>
    <font>
      <sz val="11"/>
      <color theme="1"/>
      <name val="Calibri"/>
      <family val="2"/>
      <scheme val="minor"/>
    </font>
    <font>
      <sz val="6"/>
      <name val="Arial"/>
      <family val="2"/>
    </font>
    <font>
      <b/>
      <sz val="6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Calibri"/>
      <family val="2"/>
      <scheme val="minor"/>
    </font>
    <font>
      <sz val="5"/>
      <name val="Times New Roman"/>
      <family val="1"/>
    </font>
    <font>
      <sz val="5"/>
      <color theme="1"/>
      <name val="Times New Roman"/>
      <family val="1"/>
    </font>
    <font>
      <sz val="5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1" fillId="0" borderId="0" xfId="0" applyFont="1" applyFill="1" applyBorder="1"/>
    <xf numFmtId="0" fontId="3" fillId="3" borderId="0" xfId="0" applyFont="1" applyFill="1" applyAlignment="1" applyProtection="1">
      <alignment horizontal="centerContinuous"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8" fillId="3" borderId="0" xfId="0" applyFont="1" applyFill="1" applyAlignment="1" applyProtection="1">
      <alignment horizontal="centerContinuous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3" borderId="0" xfId="0" applyFont="1" applyFill="1" applyAlignment="1" applyProtection="1">
      <alignment horizontal="centerContinuous" vertical="center"/>
    </xf>
    <xf numFmtId="0" fontId="10" fillId="0" borderId="0" xfId="0" applyFont="1" applyAlignment="1">
      <alignment vertical="center"/>
    </xf>
    <xf numFmtId="0" fontId="10" fillId="3" borderId="0" xfId="0" applyFont="1" applyFill="1" applyBorder="1" applyAlignment="1" applyProtection="1">
      <alignment vertical="center"/>
    </xf>
    <xf numFmtId="0" fontId="11" fillId="0" borderId="0" xfId="0" applyFont="1"/>
    <xf numFmtId="0" fontId="7" fillId="0" borderId="0" xfId="0" applyFont="1" applyBorder="1"/>
    <xf numFmtId="0" fontId="8" fillId="3" borderId="0" xfId="0" applyFont="1" applyFill="1" applyBorder="1" applyAlignment="1" applyProtection="1">
      <alignment vertical="center"/>
    </xf>
    <xf numFmtId="0" fontId="4" fillId="0" borderId="1" xfId="0" applyFont="1" applyFill="1" applyBorder="1" applyProtection="1"/>
    <xf numFmtId="37" fontId="3" fillId="0" borderId="1" xfId="0" applyNumberFormat="1" applyFont="1" applyFill="1" applyBorder="1" applyProtection="1"/>
    <xf numFmtId="164" fontId="3" fillId="0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 vertical="center"/>
    </xf>
    <xf numFmtId="37" fontId="5" fillId="0" borderId="2" xfId="0" applyNumberFormat="1" applyFont="1" applyBorder="1" applyProtection="1"/>
    <xf numFmtId="37" fontId="5" fillId="0" borderId="1" xfId="0" applyNumberFormat="1" applyFont="1" applyBorder="1" applyProtection="1"/>
    <xf numFmtId="164" fontId="5" fillId="0" borderId="1" xfId="0" applyNumberFormat="1" applyFont="1" applyBorder="1"/>
    <xf numFmtId="164" fontId="3" fillId="3" borderId="1" xfId="0" applyNumberFormat="1" applyFont="1" applyFill="1" applyBorder="1" applyAlignment="1" applyProtection="1">
      <alignment horizontal="center" vertical="center"/>
    </xf>
    <xf numFmtId="164" fontId="3" fillId="4" borderId="1" xfId="0" applyNumberFormat="1" applyFont="1" applyFill="1" applyBorder="1" applyAlignment="1" applyProtection="1">
      <alignment horizontal="center" vertical="center"/>
    </xf>
    <xf numFmtId="37" fontId="3" fillId="0" borderId="1" xfId="0" applyNumberFormat="1" applyFont="1" applyFill="1" applyBorder="1" applyAlignment="1" applyProtection="1">
      <alignment horizontal="right"/>
    </xf>
    <xf numFmtId="37" fontId="3" fillId="0" borderId="1" xfId="0" applyNumberFormat="1" applyFont="1" applyFill="1" applyBorder="1" applyAlignment="1" applyProtection="1">
      <alignment vertical="top"/>
    </xf>
    <xf numFmtId="0" fontId="4" fillId="0" borderId="4" xfId="0" applyFont="1" applyFill="1" applyBorder="1" applyAlignment="1" applyProtection="1">
      <alignment vertical="center"/>
    </xf>
    <xf numFmtId="37" fontId="4" fillId="0" borderId="4" xfId="0" applyNumberFormat="1" applyFont="1" applyFill="1" applyBorder="1" applyAlignment="1" applyProtection="1">
      <alignment vertical="center"/>
    </xf>
    <xf numFmtId="37" fontId="4" fillId="0" borderId="4" xfId="0" applyNumberFormat="1" applyFont="1" applyFill="1" applyBorder="1" applyProtection="1"/>
    <xf numFmtId="37" fontId="6" fillId="0" borderId="4" xfId="0" applyNumberFormat="1" applyFont="1" applyBorder="1"/>
    <xf numFmtId="164" fontId="6" fillId="0" borderId="4" xfId="0" applyNumberFormat="1" applyFont="1" applyBorder="1"/>
    <xf numFmtId="165" fontId="6" fillId="0" borderId="4" xfId="2" applyNumberFormat="1" applyFont="1" applyBorder="1"/>
    <xf numFmtId="0" fontId="4" fillId="0" borderId="2" xfId="0" applyFont="1" applyFill="1" applyBorder="1" applyProtection="1"/>
    <xf numFmtId="37" fontId="3" fillId="0" borderId="2" xfId="0" applyNumberFormat="1" applyFont="1" applyFill="1" applyBorder="1" applyProtection="1"/>
    <xf numFmtId="0" fontId="4" fillId="0" borderId="3" xfId="0" applyFont="1" applyFill="1" applyBorder="1" applyProtection="1"/>
    <xf numFmtId="37" fontId="3" fillId="0" borderId="3" xfId="0" applyNumberFormat="1" applyFont="1" applyFill="1" applyBorder="1" applyProtection="1"/>
    <xf numFmtId="164" fontId="3" fillId="0" borderId="2" xfId="0" applyNumberFormat="1" applyFont="1" applyFill="1" applyBorder="1" applyAlignment="1" applyProtection="1">
      <alignment horizontal="center"/>
    </xf>
    <xf numFmtId="164" fontId="3" fillId="0" borderId="2" xfId="0" applyNumberFormat="1" applyFont="1" applyFill="1" applyBorder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center" vertical="center"/>
    </xf>
    <xf numFmtId="164" fontId="5" fillId="0" borderId="2" xfId="0" applyNumberFormat="1" applyFont="1" applyBorder="1"/>
    <xf numFmtId="164" fontId="3" fillId="3" borderId="2" xfId="0" applyNumberFormat="1" applyFont="1" applyFill="1" applyBorder="1" applyAlignment="1" applyProtection="1">
      <alignment horizontal="center" vertical="center"/>
    </xf>
    <xf numFmtId="164" fontId="3" fillId="4" borderId="2" xfId="0" applyNumberFormat="1" applyFont="1" applyFill="1" applyBorder="1" applyAlignment="1" applyProtection="1">
      <alignment horizontal="center" vertical="center"/>
    </xf>
    <xf numFmtId="164" fontId="3" fillId="0" borderId="3" xfId="0" applyNumberFormat="1" applyFont="1" applyFill="1" applyBorder="1" applyAlignment="1" applyProtection="1">
      <alignment horizontal="center"/>
    </xf>
    <xf numFmtId="164" fontId="3" fillId="0" borderId="3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 applyProtection="1">
      <alignment horizontal="center" vertical="center"/>
    </xf>
    <xf numFmtId="37" fontId="5" fillId="0" borderId="3" xfId="0" applyNumberFormat="1" applyFont="1" applyBorder="1" applyProtection="1"/>
    <xf numFmtId="164" fontId="5" fillId="0" borderId="3" xfId="0" applyNumberFormat="1" applyFont="1" applyBorder="1"/>
    <xf numFmtId="164" fontId="3" fillId="3" borderId="3" xfId="0" applyNumberFormat="1" applyFont="1" applyFill="1" applyBorder="1" applyAlignment="1" applyProtection="1">
      <alignment horizontal="center" vertical="center"/>
    </xf>
    <xf numFmtId="164" fontId="3" fillId="4" borderId="3" xfId="0" applyNumberFormat="1" applyFont="1" applyFill="1" applyBorder="1" applyAlignment="1" applyProtection="1">
      <alignment horizontal="center" vertical="center"/>
    </xf>
    <xf numFmtId="37" fontId="3" fillId="0" borderId="1" xfId="0" applyNumberFormat="1" applyFont="1" applyBorder="1" applyAlignment="1" applyProtection="1">
      <alignment vertical="top"/>
    </xf>
    <xf numFmtId="0" fontId="4" fillId="0" borderId="5" xfId="0" applyFont="1" applyFill="1" applyBorder="1" applyAlignment="1" applyProtection="1">
      <alignment horizontal="center" vertical="center"/>
    </xf>
    <xf numFmtId="164" fontId="6" fillId="0" borderId="4" xfId="2" applyNumberFormat="1" applyFont="1" applyBorder="1"/>
    <xf numFmtId="3" fontId="3" fillId="0" borderId="2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166" fontId="3" fillId="0" borderId="2" xfId="0" applyNumberFormat="1" applyFont="1" applyFill="1" applyBorder="1" applyAlignment="1">
      <alignment vertical="center"/>
    </xf>
    <xf numFmtId="3" fontId="3" fillId="0" borderId="6" xfId="0" applyNumberFormat="1" applyFont="1" applyFill="1" applyBorder="1" applyAlignment="1">
      <alignment vertical="center"/>
    </xf>
    <xf numFmtId="0" fontId="12" fillId="3" borderId="0" xfId="4" applyFill="1" applyAlignment="1">
      <alignment vertical="top"/>
    </xf>
    <xf numFmtId="0" fontId="13" fillId="3" borderId="0" xfId="4" applyFont="1" applyFill="1"/>
    <xf numFmtId="0" fontId="12" fillId="0" borderId="0" xfId="4"/>
    <xf numFmtId="0" fontId="14" fillId="3" borderId="0" xfId="5" applyFill="1" applyAlignment="1" applyProtection="1">
      <alignment vertical="center"/>
    </xf>
    <xf numFmtId="0" fontId="15" fillId="5" borderId="0" xfId="4" applyFont="1" applyFill="1"/>
    <xf numFmtId="0" fontId="16" fillId="3" borderId="7" xfId="4" applyFont="1" applyFill="1" applyBorder="1"/>
    <xf numFmtId="0" fontId="16" fillId="3" borderId="8" xfId="4" applyFont="1" applyFill="1" applyBorder="1"/>
    <xf numFmtId="0" fontId="12" fillId="3" borderId="9" xfId="4" applyFill="1" applyBorder="1" applyAlignment="1">
      <alignment vertical="top" wrapText="1"/>
    </xf>
    <xf numFmtId="0" fontId="12" fillId="3" borderId="10" xfId="4" applyFill="1" applyBorder="1" applyAlignment="1">
      <alignment vertical="top"/>
    </xf>
    <xf numFmtId="0" fontId="12" fillId="3" borderId="11" xfId="4" applyFill="1" applyBorder="1" applyAlignment="1">
      <alignment vertical="top" wrapText="1"/>
    </xf>
    <xf numFmtId="0" fontId="12" fillId="3" borderId="12" xfId="4" applyFill="1" applyBorder="1" applyAlignment="1">
      <alignment vertical="top"/>
    </xf>
    <xf numFmtId="0" fontId="12" fillId="3" borderId="13" xfId="4" applyFill="1" applyBorder="1" applyAlignment="1">
      <alignment vertical="top" wrapText="1"/>
    </xf>
    <xf numFmtId="0" fontId="12" fillId="3" borderId="14" xfId="4" applyFill="1" applyBorder="1" applyAlignment="1">
      <alignment vertical="top"/>
    </xf>
    <xf numFmtId="0" fontId="12" fillId="3" borderId="0" xfId="4" applyFill="1" applyAlignment="1">
      <alignment vertical="top" wrapText="1"/>
    </xf>
    <xf numFmtId="0" fontId="0" fillId="0" borderId="0" xfId="0" applyAlignment="1">
      <alignment horizontal="right"/>
    </xf>
    <xf numFmtId="2" fontId="0" fillId="0" borderId="0" xfId="0" applyNumberFormat="1"/>
    <xf numFmtId="167" fontId="0" fillId="0" borderId="0" xfId="3" applyNumberFormat="1" applyFont="1"/>
  </cellXfs>
  <cellStyles count="6">
    <cellStyle name="Comma" xfId="2" builtinId="3"/>
    <cellStyle name="Hyperlink" xfId="5" builtinId="8"/>
    <cellStyle name="Normal" xfId="0" builtinId="0"/>
    <cellStyle name="Normal 2" xfId="1" xr:uid="{00000000-0005-0000-0000-000002000000}"/>
    <cellStyle name="Normal 2 2" xfId="4" xr:uid="{3F1C3C73-6CC7-432B-AA1E-E0839B0AD30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03C5-00D7-4ADB-85D0-1CBB6968BD3A}">
  <dimension ref="A1:AH108"/>
  <sheetViews>
    <sheetView tabSelected="1" workbookViewId="0"/>
  </sheetViews>
  <sheetFormatPr defaultRowHeight="14.5"/>
  <cols>
    <col min="1" max="1" width="17.81640625" bestFit="1" customWidth="1"/>
    <col min="2" max="2" width="3.90625" bestFit="1" customWidth="1"/>
  </cols>
  <sheetData>
    <row r="1" spans="1:34">
      <c r="C1">
        <v>43</v>
      </c>
      <c r="D1">
        <v>44</v>
      </c>
      <c r="E1">
        <v>45</v>
      </c>
      <c r="F1">
        <v>46</v>
      </c>
      <c r="G1">
        <v>47</v>
      </c>
      <c r="H1">
        <v>48</v>
      </c>
      <c r="I1">
        <v>49</v>
      </c>
      <c r="J1">
        <v>50</v>
      </c>
      <c r="K1">
        <v>51</v>
      </c>
      <c r="L1">
        <v>52</v>
      </c>
      <c r="M1">
        <v>53</v>
      </c>
      <c r="N1">
        <v>54</v>
      </c>
      <c r="O1">
        <v>55</v>
      </c>
      <c r="P1">
        <v>56</v>
      </c>
      <c r="Q1">
        <v>57</v>
      </c>
      <c r="R1">
        <v>58</v>
      </c>
      <c r="S1">
        <v>59</v>
      </c>
      <c r="T1">
        <v>60</v>
      </c>
      <c r="U1">
        <v>61</v>
      </c>
      <c r="V1">
        <v>62</v>
      </c>
      <c r="W1">
        <v>63</v>
      </c>
      <c r="X1">
        <v>64</v>
      </c>
      <c r="Y1">
        <v>65</v>
      </c>
      <c r="Z1">
        <v>66</v>
      </c>
      <c r="AA1">
        <v>67</v>
      </c>
      <c r="AB1">
        <v>68</v>
      </c>
      <c r="AC1">
        <v>69</v>
      </c>
      <c r="AD1">
        <v>70</v>
      </c>
      <c r="AE1">
        <v>71</v>
      </c>
      <c r="AF1">
        <v>72</v>
      </c>
      <c r="AG1">
        <v>73</v>
      </c>
      <c r="AH1">
        <v>74</v>
      </c>
    </row>
    <row r="2" spans="1:34">
      <c r="A2" t="s">
        <v>0</v>
      </c>
      <c r="C2">
        <v>1990</v>
      </c>
      <c r="D2">
        <v>1991</v>
      </c>
      <c r="E2">
        <v>1992</v>
      </c>
      <c r="F2">
        <v>1993</v>
      </c>
      <c r="G2">
        <v>1994</v>
      </c>
      <c r="H2">
        <v>1995</v>
      </c>
      <c r="I2">
        <v>1996</v>
      </c>
      <c r="J2">
        <v>1997</v>
      </c>
      <c r="K2">
        <v>1998</v>
      </c>
      <c r="L2">
        <v>1999</v>
      </c>
      <c r="M2">
        <v>2000</v>
      </c>
      <c r="N2">
        <v>2001</v>
      </c>
      <c r="O2">
        <v>2002</v>
      </c>
      <c r="P2">
        <v>2003</v>
      </c>
      <c r="Q2">
        <v>2004</v>
      </c>
      <c r="R2">
        <v>2005</v>
      </c>
      <c r="S2">
        <v>2006</v>
      </c>
      <c r="T2">
        <v>2007</v>
      </c>
      <c r="U2">
        <v>2008</v>
      </c>
      <c r="V2">
        <v>2009</v>
      </c>
      <c r="W2">
        <v>2010</v>
      </c>
      <c r="X2">
        <v>2011</v>
      </c>
      <c r="Y2">
        <v>2012</v>
      </c>
      <c r="Z2">
        <v>2013</v>
      </c>
      <c r="AA2">
        <v>2014</v>
      </c>
      <c r="AB2">
        <v>2015</v>
      </c>
      <c r="AC2">
        <v>2016</v>
      </c>
      <c r="AD2">
        <v>2017</v>
      </c>
      <c r="AE2">
        <v>2018</v>
      </c>
      <c r="AF2">
        <v>2019</v>
      </c>
      <c r="AG2">
        <v>2020</v>
      </c>
      <c r="AH2">
        <v>2021</v>
      </c>
    </row>
    <row r="3" spans="1:34">
      <c r="A3" t="s">
        <v>1</v>
      </c>
      <c r="B3" t="str">
        <f>VLOOKUP(A3,'State Codes'!$C$10:$D$63,2,FALSE)</f>
        <v>AL</v>
      </c>
      <c r="C3">
        <f>VLOOKUP($A3,'MF-226'!$A$2:$BV$53,C$1,FALSE)</f>
        <v>2053319</v>
      </c>
      <c r="D3">
        <f>VLOOKUP($A3,'MF-226'!$A$2:$BV$53,D$1,FALSE)</f>
        <v>2050458</v>
      </c>
      <c r="E3">
        <f>VLOOKUP($A3,'MF-226'!$A$2:$BV$53,E$1,FALSE)</f>
        <v>2125176</v>
      </c>
      <c r="F3">
        <f>VLOOKUP($A3,'MF-226'!$A$2:$BV$53,F$1,FALSE)</f>
        <v>2165688</v>
      </c>
      <c r="G3">
        <f>VLOOKUP($A3,'MF-226'!$A$2:$BV$53,G$1,FALSE)</f>
        <v>2220444</v>
      </c>
      <c r="H3">
        <f>VLOOKUP($A3,'MF-226'!$A$2:$BV$53,H$1,FALSE)</f>
        <v>2283380</v>
      </c>
      <c r="I3">
        <f>VLOOKUP($A3,'MF-226'!$A$2:$BV$53,I$1,FALSE)</f>
        <v>2274640</v>
      </c>
      <c r="J3">
        <f>VLOOKUP($A3,'MF-226'!$A$2:$BV$53,J$1,FALSE)</f>
        <v>2303025</v>
      </c>
      <c r="K3">
        <f>VLOOKUP($A3,'MF-226'!$A$2:$BV$53,K$1,FALSE)</f>
        <v>2383298</v>
      </c>
      <c r="L3">
        <f>VLOOKUP($A3,'MF-226'!$A$2:$BV$53,L$1,FALSE)</f>
        <v>2414076</v>
      </c>
      <c r="M3">
        <f>VLOOKUP($A3,'MF-226'!$A$2:$BV$53,M$1,FALSE)</f>
        <v>2378770.4530000002</v>
      </c>
      <c r="N3">
        <f>VLOOKUP($A3,'MF-226'!$A$2:$BV$53,N$1,FALSE)</f>
        <v>2382507</v>
      </c>
      <c r="O3">
        <f>VLOOKUP($A3,'MF-226'!$A$2:$BV$53,O$1,FALSE)</f>
        <v>2541401</v>
      </c>
      <c r="P3">
        <f>VLOOKUP($A3,'MF-226'!$A$2:$BV$53,P$1,FALSE)</f>
        <v>2446942</v>
      </c>
      <c r="Q3">
        <f>VLOOKUP($A3,'MF-226'!$A$2:$BV$53,Q$1,FALSE)</f>
        <v>2545769</v>
      </c>
      <c r="R3">
        <f>VLOOKUP($A3,'MF-226'!$A$2:$BV$53,R$1,FALSE)</f>
        <v>2545997</v>
      </c>
      <c r="S3">
        <f>VLOOKUP($A3,'MF-226'!$A$2:$BV$53,S$1,FALSE)</f>
        <v>2537990</v>
      </c>
      <c r="T3">
        <f>VLOOKUP($A3,'MF-226'!$A$2:$BV$53,T$1,FALSE)</f>
        <v>2573326</v>
      </c>
      <c r="U3">
        <f>VLOOKUP($A3,'MF-226'!$A$2:$BV$53,U$1,FALSE)</f>
        <v>2510679</v>
      </c>
      <c r="V3">
        <f>VLOOKUP($A3,'MF-226'!$A$2:$BV$53,V$1,FALSE)</f>
        <v>2533308</v>
      </c>
      <c r="W3">
        <f>VLOOKUP($A3,'MF-226'!$A$2:$BV$53,W$1,FALSE)</f>
        <v>2595316</v>
      </c>
      <c r="X3">
        <f>VLOOKUP($A3,'MF-226'!$A$2:$BV$53,X$1,FALSE)</f>
        <v>2538696</v>
      </c>
      <c r="Y3">
        <f>VLOOKUP($A3,'MF-226'!$A$2:$BV$53,Y$1,FALSE)</f>
        <v>2521069</v>
      </c>
      <c r="Z3">
        <f>VLOOKUP($A3,'MF-226'!$A$2:$BV$53,Z$1,FALSE)</f>
        <v>2519753</v>
      </c>
      <c r="AA3">
        <f>VLOOKUP($A3,'MF-226'!$A$2:$BV$53,AA$1,FALSE)</f>
        <v>2576928</v>
      </c>
      <c r="AB3">
        <f>VLOOKUP($A3,'MF-226'!$A$2:$BV$53,AB$1,FALSE)</f>
        <v>2504176</v>
      </c>
      <c r="AC3">
        <f>VLOOKUP($A3,'MF-226'!$A$2:$BV$53,AC$1,FALSE)</f>
        <v>2580392</v>
      </c>
      <c r="AD3">
        <f>VLOOKUP($A3,'MF-226'!$A$2:$BV$53,AD$1,FALSE)</f>
        <v>2550741</v>
      </c>
      <c r="AE3">
        <f>VLOOKUP($A3,'MF-226'!$A$2:$BV$53,AE$1,FALSE)</f>
        <v>2540902</v>
      </c>
      <c r="AF3">
        <f>VLOOKUP($A3,'MF-226'!$A$2:$BV$53,AF$1,FALSE)</f>
        <v>2659652</v>
      </c>
      <c r="AG3">
        <f>VLOOKUP($A3,'MF-226'!$A$2:$BV$53,AG$1,FALSE)</f>
        <v>2702225</v>
      </c>
      <c r="AH3">
        <f>VLOOKUP($A3,'MF-226'!$A$2:$BV$53,AH$1,FALSE)</f>
        <v>3072895</v>
      </c>
    </row>
    <row r="4" spans="1:34">
      <c r="A4" t="s">
        <v>2</v>
      </c>
      <c r="B4" t="str">
        <f>VLOOKUP(A4,'State Codes'!$C$10:$D$63,2,FALSE)</f>
        <v>AK</v>
      </c>
      <c r="C4">
        <f>VLOOKUP($A4,'MF-226'!$A$2:$BV$53,C$1,FALSE)</f>
        <v>236151</v>
      </c>
      <c r="D4">
        <f>VLOOKUP($A4,'MF-226'!$A$2:$BV$53,D$1,FALSE)</f>
        <v>201902</v>
      </c>
      <c r="E4">
        <f>VLOOKUP($A4,'MF-226'!$A$2:$BV$53,E$1,FALSE)</f>
        <v>235343</v>
      </c>
      <c r="F4">
        <f>VLOOKUP($A4,'MF-226'!$A$2:$BV$53,F$1,FALSE)</f>
        <v>242127</v>
      </c>
      <c r="G4">
        <f>VLOOKUP($A4,'MF-226'!$A$2:$BV$53,G$1,FALSE)</f>
        <v>273319</v>
      </c>
      <c r="H4">
        <f>VLOOKUP($A4,'MF-226'!$A$2:$BV$53,H$1,FALSE)</f>
        <v>294662</v>
      </c>
      <c r="I4">
        <f>VLOOKUP($A4,'MF-226'!$A$2:$BV$53,I$1,FALSE)</f>
        <v>267994</v>
      </c>
      <c r="J4">
        <f>VLOOKUP($A4,'MF-226'!$A$2:$BV$53,J$1,FALSE)</f>
        <v>259191</v>
      </c>
      <c r="K4">
        <f>VLOOKUP($A4,'MF-226'!$A$2:$BV$53,K$1,FALSE)</f>
        <v>276828</v>
      </c>
      <c r="L4">
        <f>VLOOKUP($A4,'MF-226'!$A$2:$BV$53,L$1,FALSE)</f>
        <v>267005</v>
      </c>
      <c r="M4">
        <f>VLOOKUP($A4,'MF-226'!$A$2:$BV$53,M$1,FALSE)</f>
        <v>247394.85399999999</v>
      </c>
      <c r="N4">
        <f>VLOOKUP($A4,'MF-226'!$A$2:$BV$53,N$1,FALSE)</f>
        <v>235400</v>
      </c>
      <c r="O4">
        <f>VLOOKUP($A4,'MF-226'!$A$2:$BV$53,O$1,FALSE)</f>
        <v>237008</v>
      </c>
      <c r="P4">
        <f>VLOOKUP($A4,'MF-226'!$A$2:$BV$53,P$1,FALSE)</f>
        <v>241205</v>
      </c>
      <c r="Q4">
        <f>VLOOKUP($A4,'MF-226'!$A$2:$BV$53,Q$1,FALSE)</f>
        <v>279712</v>
      </c>
      <c r="R4">
        <f>VLOOKUP($A4,'MF-226'!$A$2:$BV$53,R$1,FALSE)</f>
        <v>267821</v>
      </c>
      <c r="S4">
        <f>VLOOKUP($A4,'MF-226'!$A$2:$BV$53,S$1,FALSE)</f>
        <v>262992</v>
      </c>
      <c r="T4">
        <f>VLOOKUP($A4,'MF-226'!$A$2:$BV$53,T$1,FALSE)</f>
        <v>267442</v>
      </c>
      <c r="U4">
        <f>VLOOKUP($A4,'MF-226'!$A$2:$BV$53,U$1,FALSE)</f>
        <v>261376</v>
      </c>
      <c r="V4">
        <f>VLOOKUP($A4,'MF-226'!$A$2:$BV$53,V$1,FALSE)</f>
        <v>265790</v>
      </c>
      <c r="W4">
        <f>VLOOKUP($A4,'MF-226'!$A$2:$BV$53,W$1,FALSE)</f>
        <v>265549</v>
      </c>
      <c r="X4">
        <f>VLOOKUP($A4,'MF-226'!$A$2:$BV$53,X$1,FALSE)</f>
        <v>259821</v>
      </c>
      <c r="Y4">
        <f>VLOOKUP($A4,'MF-226'!$A$2:$BV$53,Y$1,FALSE)</f>
        <v>267783</v>
      </c>
      <c r="Z4">
        <f>VLOOKUP($A4,'MF-226'!$A$2:$BV$53,Z$1,FALSE)</f>
        <v>251692</v>
      </c>
      <c r="AA4">
        <f>VLOOKUP($A4,'MF-226'!$A$2:$BV$53,AA$1,FALSE)</f>
        <v>274074</v>
      </c>
      <c r="AB4">
        <f>VLOOKUP($A4,'MF-226'!$A$2:$BV$53,AB$1,FALSE)</f>
        <v>243380</v>
      </c>
      <c r="AC4">
        <f>VLOOKUP($A4,'MF-226'!$A$2:$BV$53,AC$1,FALSE)</f>
        <v>253416</v>
      </c>
      <c r="AD4">
        <f>VLOOKUP($A4,'MF-226'!$A$2:$BV$53,AD$1,FALSE)</f>
        <v>247425</v>
      </c>
      <c r="AE4">
        <f>VLOOKUP($A4,'MF-226'!$A$2:$BV$53,AE$1,FALSE)</f>
        <v>244389</v>
      </c>
      <c r="AF4">
        <f>VLOOKUP($A4,'MF-226'!$A$2:$BV$53,AF$1,FALSE)</f>
        <v>242562</v>
      </c>
      <c r="AG4">
        <f>VLOOKUP($A4,'MF-226'!$A$2:$BV$53,AG$1,FALSE)</f>
        <v>211646</v>
      </c>
      <c r="AH4">
        <f>VLOOKUP($A4,'MF-226'!$A$2:$BV$53,AH$1,FALSE)</f>
        <v>233350</v>
      </c>
    </row>
    <row r="5" spans="1:34">
      <c r="A5" t="s">
        <v>3</v>
      </c>
      <c r="B5" t="str">
        <f>VLOOKUP(A5,'State Codes'!$C$10:$D$63,2,FALSE)</f>
        <v>AZ</v>
      </c>
      <c r="C5">
        <f>VLOOKUP($A5,'MF-226'!$A$2:$BV$53,C$1,FALSE)</f>
        <v>1637845</v>
      </c>
      <c r="D5">
        <f>VLOOKUP($A5,'MF-226'!$A$2:$BV$53,D$1,FALSE)</f>
        <v>1678543</v>
      </c>
      <c r="E5">
        <f>VLOOKUP($A5,'MF-226'!$A$2:$BV$53,E$1,FALSE)</f>
        <v>1744958</v>
      </c>
      <c r="F5">
        <f>VLOOKUP($A5,'MF-226'!$A$2:$BV$53,F$1,FALSE)</f>
        <v>1799523</v>
      </c>
      <c r="G5">
        <f>VLOOKUP($A5,'MF-226'!$A$2:$BV$53,G$1,FALSE)</f>
        <v>1899942</v>
      </c>
      <c r="H5">
        <f>VLOOKUP($A5,'MF-226'!$A$2:$BV$53,H$1,FALSE)</f>
        <v>1958002</v>
      </c>
      <c r="I5">
        <f>VLOOKUP($A5,'MF-226'!$A$2:$BV$53,I$1,FALSE)</f>
        <v>2062005</v>
      </c>
      <c r="J5">
        <f>VLOOKUP($A5,'MF-226'!$A$2:$BV$53,J$1,FALSE)</f>
        <v>2038874</v>
      </c>
      <c r="K5">
        <f>VLOOKUP($A5,'MF-226'!$A$2:$BV$53,K$1,FALSE)</f>
        <v>2196899</v>
      </c>
      <c r="L5">
        <f>VLOOKUP($A5,'MF-226'!$A$2:$BV$53,L$1,FALSE)</f>
        <v>2312106</v>
      </c>
      <c r="M5">
        <f>VLOOKUP($A5,'MF-226'!$A$2:$BV$53,M$1,FALSE)</f>
        <v>2366395.8319999999</v>
      </c>
      <c r="N5">
        <f>VLOOKUP($A5,'MF-226'!$A$2:$BV$53,N$1,FALSE)</f>
        <v>2428430</v>
      </c>
      <c r="O5">
        <f>VLOOKUP($A5,'MF-226'!$A$2:$BV$53,O$1,FALSE)</f>
        <v>2540577</v>
      </c>
      <c r="P5">
        <f>VLOOKUP($A5,'MF-226'!$A$2:$BV$53,P$1,FALSE)</f>
        <v>2574491</v>
      </c>
      <c r="Q5">
        <f>VLOOKUP($A5,'MF-226'!$A$2:$BV$53,Q$1,FALSE)</f>
        <v>2691468</v>
      </c>
      <c r="R5">
        <f>VLOOKUP($A5,'MF-226'!$A$2:$BV$53,R$1,FALSE)</f>
        <v>2757235</v>
      </c>
      <c r="S5">
        <f>VLOOKUP($A5,'MF-226'!$A$2:$BV$53,S$1,FALSE)</f>
        <v>2793239</v>
      </c>
      <c r="T5">
        <f>VLOOKUP($A5,'MF-226'!$A$2:$BV$53,T$1,FALSE)</f>
        <v>2818981</v>
      </c>
      <c r="U5">
        <f>VLOOKUP($A5,'MF-226'!$A$2:$BV$53,U$1,FALSE)</f>
        <v>2650997</v>
      </c>
      <c r="V5">
        <f>VLOOKUP($A5,'MF-226'!$A$2:$BV$53,V$1,FALSE)</f>
        <v>2571902</v>
      </c>
      <c r="W5">
        <f>VLOOKUP($A5,'MF-226'!$A$2:$BV$53,W$1,FALSE)</f>
        <v>2585987</v>
      </c>
      <c r="X5">
        <f>VLOOKUP($A5,'MF-226'!$A$2:$BV$53,X$1,FALSE)</f>
        <v>2563505</v>
      </c>
      <c r="Y5">
        <f>VLOOKUP($A5,'MF-226'!$A$2:$BV$53,Y$1,FALSE)</f>
        <v>2555274</v>
      </c>
      <c r="Z5">
        <f>VLOOKUP($A5,'MF-226'!$A$2:$BV$53,Z$1,FALSE)</f>
        <v>2578433</v>
      </c>
      <c r="AA5">
        <f>VLOOKUP($A5,'MF-226'!$A$2:$BV$53,AA$1,FALSE)</f>
        <v>2663653</v>
      </c>
      <c r="AB5">
        <f>VLOOKUP($A5,'MF-226'!$A$2:$BV$53,AB$1,FALSE)</f>
        <v>2606360</v>
      </c>
      <c r="AC5">
        <f>VLOOKUP($A5,'MF-226'!$A$2:$BV$53,AC$1,FALSE)</f>
        <v>2716868</v>
      </c>
      <c r="AD5">
        <f>VLOOKUP($A5,'MF-226'!$A$2:$BV$53,AD$1,FALSE)</f>
        <v>2732137</v>
      </c>
      <c r="AE5">
        <f>VLOOKUP($A5,'MF-226'!$A$2:$BV$53,AE$1,FALSE)</f>
        <v>2783217</v>
      </c>
      <c r="AF5">
        <f>VLOOKUP($A5,'MF-226'!$A$2:$BV$53,AF$1,FALSE)</f>
        <v>2831627</v>
      </c>
      <c r="AG5">
        <f>VLOOKUP($A5,'MF-226'!$A$2:$BV$53,AG$1,FALSE)</f>
        <v>2511812</v>
      </c>
      <c r="AH5">
        <f>VLOOKUP($A5,'MF-226'!$A$2:$BV$53,AH$1,FALSE)</f>
        <v>2788875</v>
      </c>
    </row>
    <row r="6" spans="1:34">
      <c r="A6" t="s">
        <v>4</v>
      </c>
      <c r="B6" t="str">
        <f>VLOOKUP(A6,'State Codes'!$C$10:$D$63,2,FALSE)</f>
        <v>AR</v>
      </c>
      <c r="C6">
        <f>VLOOKUP($A6,'MF-226'!$A$2:$BV$53,C$1,FALSE)</f>
        <v>1203811</v>
      </c>
      <c r="D6">
        <f>VLOOKUP($A6,'MF-226'!$A$2:$BV$53,D$1,FALSE)</f>
        <v>1192698</v>
      </c>
      <c r="E6">
        <f>VLOOKUP($A6,'MF-226'!$A$2:$BV$53,E$1,FALSE)</f>
        <v>1228841</v>
      </c>
      <c r="F6">
        <f>VLOOKUP($A6,'MF-226'!$A$2:$BV$53,F$1,FALSE)</f>
        <v>1268663</v>
      </c>
      <c r="G6">
        <f>VLOOKUP($A6,'MF-226'!$A$2:$BV$53,G$1,FALSE)</f>
        <v>1286100</v>
      </c>
      <c r="H6">
        <f>VLOOKUP($A6,'MF-226'!$A$2:$BV$53,H$1,FALSE)</f>
        <v>1318092</v>
      </c>
      <c r="I6">
        <f>VLOOKUP($A6,'MF-226'!$A$2:$BV$53,I$1,FALSE)</f>
        <v>1322962</v>
      </c>
      <c r="J6">
        <f>VLOOKUP($A6,'MF-226'!$A$2:$BV$53,J$1,FALSE)</f>
        <v>1368546</v>
      </c>
      <c r="K6">
        <f>VLOOKUP($A6,'MF-226'!$A$2:$BV$53,K$1,FALSE)</f>
        <v>1364348</v>
      </c>
      <c r="L6">
        <f>VLOOKUP($A6,'MF-226'!$A$2:$BV$53,L$1,FALSE)</f>
        <v>1392948</v>
      </c>
      <c r="M6">
        <f>VLOOKUP($A6,'MF-226'!$A$2:$BV$53,M$1,FALSE)</f>
        <v>1371641.25</v>
      </c>
      <c r="N6">
        <f>VLOOKUP($A6,'MF-226'!$A$2:$BV$53,N$1,FALSE)</f>
        <v>1358174</v>
      </c>
      <c r="O6">
        <f>VLOOKUP($A6,'MF-226'!$A$2:$BV$53,O$1,FALSE)</f>
        <v>1383458</v>
      </c>
      <c r="P6">
        <f>VLOOKUP($A6,'MF-226'!$A$2:$BV$53,P$1,FALSE)</f>
        <v>1397579</v>
      </c>
      <c r="Q6">
        <f>VLOOKUP($A6,'MF-226'!$A$2:$BV$53,Q$1,FALSE)</f>
        <v>1392455</v>
      </c>
      <c r="R6">
        <f>VLOOKUP($A6,'MF-226'!$A$2:$BV$53,R$1,FALSE)</f>
        <v>1367278</v>
      </c>
      <c r="S6">
        <f>VLOOKUP($A6,'MF-226'!$A$2:$BV$53,S$1,FALSE)</f>
        <v>1347736</v>
      </c>
      <c r="T6">
        <f>VLOOKUP($A6,'MF-226'!$A$2:$BV$53,T$1,FALSE)</f>
        <v>1377803</v>
      </c>
      <c r="U6">
        <f>VLOOKUP($A6,'MF-226'!$A$2:$BV$53,U$1,FALSE)</f>
        <v>1373783</v>
      </c>
      <c r="V6">
        <f>VLOOKUP($A6,'MF-226'!$A$2:$BV$53,V$1,FALSE)</f>
        <v>1405993</v>
      </c>
      <c r="W6">
        <f>VLOOKUP($A6,'MF-226'!$A$2:$BV$53,W$1,FALSE)</f>
        <v>1408255</v>
      </c>
      <c r="X6">
        <f>VLOOKUP($A6,'MF-226'!$A$2:$BV$53,X$1,FALSE)</f>
        <v>1372183</v>
      </c>
      <c r="Y6">
        <f>VLOOKUP($A6,'MF-226'!$A$2:$BV$53,Y$1,FALSE)</f>
        <v>1366706</v>
      </c>
      <c r="Z6">
        <f>VLOOKUP($A6,'MF-226'!$A$2:$BV$53,Z$1,FALSE)</f>
        <v>1342104</v>
      </c>
      <c r="AA6">
        <f>VLOOKUP($A6,'MF-226'!$A$2:$BV$53,AA$1,FALSE)</f>
        <v>1420837</v>
      </c>
      <c r="AB6">
        <f>VLOOKUP($A6,'MF-226'!$A$2:$BV$53,AB$1,FALSE)</f>
        <v>1320737</v>
      </c>
      <c r="AC6">
        <f>VLOOKUP($A6,'MF-226'!$A$2:$BV$53,AC$1,FALSE)</f>
        <v>1412534</v>
      </c>
      <c r="AD6">
        <f>VLOOKUP($A6,'MF-226'!$A$2:$BV$53,AD$1,FALSE)</f>
        <v>1408054</v>
      </c>
      <c r="AE6">
        <f>VLOOKUP($A6,'MF-226'!$A$2:$BV$53,AE$1,FALSE)</f>
        <v>1379415</v>
      </c>
      <c r="AF6">
        <f>VLOOKUP($A6,'MF-226'!$A$2:$BV$53,AF$1,FALSE)</f>
        <v>1431471</v>
      </c>
      <c r="AG6">
        <f>VLOOKUP($A6,'MF-226'!$A$2:$BV$53,AG$1,FALSE)</f>
        <v>1326814</v>
      </c>
      <c r="AH6">
        <f>VLOOKUP($A6,'MF-226'!$A$2:$BV$53,AH$1,FALSE)</f>
        <v>1417358</v>
      </c>
    </row>
    <row r="7" spans="1:34">
      <c r="A7" t="s">
        <v>5</v>
      </c>
      <c r="B7" t="str">
        <f>VLOOKUP(A7,'State Codes'!$C$10:$D$63,2,FALSE)</f>
        <v>CA</v>
      </c>
      <c r="C7">
        <f>VLOOKUP($A7,'MF-226'!$A$2:$BV$53,C$1,FALSE)</f>
        <v>12808053</v>
      </c>
      <c r="D7">
        <f>VLOOKUP($A7,'MF-226'!$A$2:$BV$53,D$1,FALSE)</f>
        <v>12397037</v>
      </c>
      <c r="E7">
        <f>VLOOKUP($A7,'MF-226'!$A$2:$BV$53,E$1,FALSE)</f>
        <v>13281462</v>
      </c>
      <c r="F7">
        <f>VLOOKUP($A7,'MF-226'!$A$2:$BV$53,F$1,FALSE)</f>
        <v>12962782</v>
      </c>
      <c r="G7">
        <f>VLOOKUP($A7,'MF-226'!$A$2:$BV$53,G$1,FALSE)</f>
        <v>12932907</v>
      </c>
      <c r="H7">
        <f>VLOOKUP($A7,'MF-226'!$A$2:$BV$53,H$1,FALSE)</f>
        <v>13012893</v>
      </c>
      <c r="I7">
        <f>VLOOKUP($A7,'MF-226'!$A$2:$BV$53,I$1,FALSE)</f>
        <v>13291758</v>
      </c>
      <c r="J7">
        <f>VLOOKUP($A7,'MF-226'!$A$2:$BV$53,J$1,FALSE)</f>
        <v>13492400</v>
      </c>
      <c r="K7">
        <f>VLOOKUP($A7,'MF-226'!$A$2:$BV$53,K$1,FALSE)</f>
        <v>13755547</v>
      </c>
      <c r="L7">
        <f>VLOOKUP($A7,'MF-226'!$A$2:$BV$53,L$1,FALSE)</f>
        <v>14249177</v>
      </c>
      <c r="M7">
        <f>VLOOKUP($A7,'MF-226'!$A$2:$BV$53,M$1,FALSE)</f>
        <v>14378254.189999999</v>
      </c>
      <c r="N7">
        <f>VLOOKUP($A7,'MF-226'!$A$2:$BV$53,N$1,FALSE)</f>
        <v>14691753</v>
      </c>
      <c r="O7">
        <f>VLOOKUP($A7,'MF-226'!$A$2:$BV$53,O$1,FALSE)</f>
        <v>15385840</v>
      </c>
      <c r="P7">
        <f>VLOOKUP($A7,'MF-226'!$A$2:$BV$53,P$1,FALSE)</f>
        <v>15358354</v>
      </c>
      <c r="Q7">
        <f>VLOOKUP($A7,'MF-226'!$A$2:$BV$53,Q$1,FALSE)</f>
        <v>15579476</v>
      </c>
      <c r="R7">
        <f>VLOOKUP($A7,'MF-226'!$A$2:$BV$53,R$1,FALSE)</f>
        <v>15614464</v>
      </c>
      <c r="S7">
        <f>VLOOKUP($A7,'MF-226'!$A$2:$BV$53,S$1,FALSE)</f>
        <v>15509940</v>
      </c>
      <c r="T7">
        <f>VLOOKUP($A7,'MF-226'!$A$2:$BV$53,T$1,FALSE)</f>
        <v>15402164</v>
      </c>
      <c r="U7">
        <f>VLOOKUP($A7,'MF-226'!$A$2:$BV$53,U$1,FALSE)</f>
        <v>14787997</v>
      </c>
      <c r="V7">
        <f>VLOOKUP($A7,'MF-226'!$A$2:$BV$53,V$1,FALSE)</f>
        <v>14575049</v>
      </c>
      <c r="W7">
        <f>VLOOKUP($A7,'MF-226'!$A$2:$BV$53,W$1,FALSE)</f>
        <v>14555037</v>
      </c>
      <c r="X7">
        <f>VLOOKUP($A7,'MF-226'!$A$2:$BV$53,X$1,FALSE)</f>
        <v>14276055</v>
      </c>
      <c r="Y7">
        <f>VLOOKUP($A7,'MF-226'!$A$2:$BV$53,Y$1,FALSE)</f>
        <v>14221198</v>
      </c>
      <c r="Z7">
        <f>VLOOKUP($A7,'MF-226'!$A$2:$BV$53,Z$1,FALSE)</f>
        <v>14201939</v>
      </c>
      <c r="AA7">
        <f>VLOOKUP($A7,'MF-226'!$A$2:$BV$53,AA$1,FALSE)</f>
        <v>14660111</v>
      </c>
      <c r="AB7">
        <f>VLOOKUP($A7,'MF-226'!$A$2:$BV$53,AB$1,FALSE)</f>
        <v>14188342</v>
      </c>
      <c r="AC7">
        <f>VLOOKUP($A7,'MF-226'!$A$2:$BV$53,AC$1,FALSE)</f>
        <v>14540213</v>
      </c>
      <c r="AD7">
        <f>VLOOKUP($A7,'MF-226'!$A$2:$BV$53,AD$1,FALSE)</f>
        <v>14613569</v>
      </c>
      <c r="AE7">
        <f>VLOOKUP($A7,'MF-226'!$A$2:$BV$53,AE$1,FALSE)</f>
        <v>14536101</v>
      </c>
      <c r="AF7">
        <f>VLOOKUP($A7,'MF-226'!$A$2:$BV$53,AF$1,FALSE)</f>
        <v>14432583</v>
      </c>
      <c r="AG7">
        <f>VLOOKUP($A7,'MF-226'!$A$2:$BV$53,AG$1,FALSE)</f>
        <v>11487227</v>
      </c>
      <c r="AH7">
        <f>VLOOKUP($A7,'MF-226'!$A$2:$BV$53,AH$1,FALSE)</f>
        <v>12812146</v>
      </c>
    </row>
    <row r="8" spans="1:34">
      <c r="A8" t="s">
        <v>63</v>
      </c>
      <c r="B8" t="str">
        <f>VLOOKUP(A8,'State Codes'!$C$10:$D$63,2,FALSE)</f>
        <v>CO</v>
      </c>
      <c r="C8">
        <f>VLOOKUP($A8,'MF-226'!$A$2:$BV$53,C$1,FALSE)</f>
        <v>1490475</v>
      </c>
      <c r="D8">
        <f>VLOOKUP($A8,'MF-226'!$A$2:$BV$53,D$1,FALSE)</f>
        <v>1478385</v>
      </c>
      <c r="E8">
        <f>VLOOKUP($A8,'MF-226'!$A$2:$BV$53,E$1,FALSE)</f>
        <v>1507258</v>
      </c>
      <c r="F8">
        <f>VLOOKUP($A8,'MF-226'!$A$2:$BV$53,F$1,FALSE)</f>
        <v>1587223</v>
      </c>
      <c r="G8">
        <f>VLOOKUP($A8,'MF-226'!$A$2:$BV$53,G$1,FALSE)</f>
        <v>1648166</v>
      </c>
      <c r="H8">
        <f>VLOOKUP($A8,'MF-226'!$A$2:$BV$53,H$1,FALSE)</f>
        <v>1712801</v>
      </c>
      <c r="I8">
        <f>VLOOKUP($A8,'MF-226'!$A$2:$BV$53,I$1,FALSE)</f>
        <v>1779655</v>
      </c>
      <c r="J8">
        <f>VLOOKUP($A8,'MF-226'!$A$2:$BV$53,J$1,FALSE)</f>
        <v>1817808</v>
      </c>
      <c r="K8">
        <f>VLOOKUP($A8,'MF-226'!$A$2:$BV$53,K$1,FALSE)</f>
        <v>1865569</v>
      </c>
      <c r="L8">
        <f>VLOOKUP($A8,'MF-226'!$A$2:$BV$53,L$1,FALSE)</f>
        <v>1971403</v>
      </c>
      <c r="M8">
        <f>VLOOKUP($A8,'MF-226'!$A$2:$BV$53,M$1,FALSE)</f>
        <v>1977730.2230000005</v>
      </c>
      <c r="N8">
        <f>VLOOKUP($A8,'MF-226'!$A$2:$BV$53,N$1,FALSE)</f>
        <v>2048664</v>
      </c>
      <c r="O8">
        <f>VLOOKUP($A8,'MF-226'!$A$2:$BV$53,O$1,FALSE)</f>
        <v>2023069</v>
      </c>
      <c r="P8">
        <f>VLOOKUP($A8,'MF-226'!$A$2:$BV$53,P$1,FALSE)</f>
        <v>2011767</v>
      </c>
      <c r="Q8">
        <f>VLOOKUP($A8,'MF-226'!$A$2:$BV$53,Q$1,FALSE)</f>
        <v>2080962</v>
      </c>
      <c r="R8">
        <f>VLOOKUP($A8,'MF-226'!$A$2:$BV$53,R$1,FALSE)</f>
        <v>2076744</v>
      </c>
      <c r="S8">
        <f>VLOOKUP($A8,'MF-226'!$A$2:$BV$53,S$1,FALSE)</f>
        <v>2066183</v>
      </c>
      <c r="T8">
        <f>VLOOKUP($A8,'MF-226'!$A$2:$BV$53,T$1,FALSE)</f>
        <v>2092476</v>
      </c>
      <c r="U8">
        <f>VLOOKUP($A8,'MF-226'!$A$2:$BV$53,U$1,FALSE)</f>
        <v>2062000</v>
      </c>
      <c r="V8">
        <f>VLOOKUP($A8,'MF-226'!$A$2:$BV$53,V$1,FALSE)</f>
        <v>2060032</v>
      </c>
      <c r="W8">
        <f>VLOOKUP($A8,'MF-226'!$A$2:$BV$53,W$1,FALSE)</f>
        <v>2093404</v>
      </c>
      <c r="X8">
        <f>VLOOKUP($A8,'MF-226'!$A$2:$BV$53,X$1,FALSE)</f>
        <v>2079287</v>
      </c>
      <c r="Y8">
        <f>VLOOKUP($A8,'MF-226'!$A$2:$BV$53,Y$1,FALSE)</f>
        <v>2065165</v>
      </c>
      <c r="Z8">
        <f>VLOOKUP($A8,'MF-226'!$A$2:$BV$53,Z$1,FALSE)</f>
        <v>2095760</v>
      </c>
      <c r="AA8">
        <f>VLOOKUP($A8,'MF-226'!$A$2:$BV$53,AA$1,FALSE)</f>
        <v>2213924</v>
      </c>
      <c r="AB8">
        <f>VLOOKUP($A8,'MF-226'!$A$2:$BV$53,AB$1,FALSE)</f>
        <v>2107254</v>
      </c>
      <c r="AC8">
        <f>VLOOKUP($A8,'MF-226'!$A$2:$BV$53,AC$1,FALSE)</f>
        <v>2217141</v>
      </c>
      <c r="AD8">
        <f>VLOOKUP($A8,'MF-226'!$A$2:$BV$53,AD$1,FALSE)</f>
        <v>2196347</v>
      </c>
      <c r="AE8">
        <f>VLOOKUP($A8,'MF-226'!$A$2:$BV$53,AE$1,FALSE)</f>
        <v>2210977</v>
      </c>
      <c r="AF8">
        <f>VLOOKUP($A8,'MF-226'!$A$2:$BV$53,AF$1,FALSE)</f>
        <v>2270649</v>
      </c>
      <c r="AG8">
        <f>VLOOKUP($A8,'MF-226'!$A$2:$BV$53,AG$1,FALSE)</f>
        <v>1921601</v>
      </c>
      <c r="AH8">
        <f>VLOOKUP($A8,'MF-226'!$A$2:$BV$53,AH$1,FALSE)</f>
        <v>2156344</v>
      </c>
    </row>
    <row r="9" spans="1:34">
      <c r="A9" t="s">
        <v>6</v>
      </c>
      <c r="B9" t="str">
        <f>VLOOKUP(A9,'State Codes'!$C$10:$D$63,2,FALSE)</f>
        <v>CT</v>
      </c>
      <c r="C9">
        <f>VLOOKUP($A9,'MF-226'!$A$2:$BV$53,C$1,FALSE)</f>
        <v>1301715</v>
      </c>
      <c r="D9">
        <f>VLOOKUP($A9,'MF-226'!$A$2:$BV$53,D$1,FALSE)</f>
        <v>1302750</v>
      </c>
      <c r="E9">
        <f>VLOOKUP($A9,'MF-226'!$A$2:$BV$53,E$1,FALSE)</f>
        <v>1311247</v>
      </c>
      <c r="F9">
        <f>VLOOKUP($A9,'MF-226'!$A$2:$BV$53,F$1,FALSE)</f>
        <v>1321880</v>
      </c>
      <c r="G9">
        <f>VLOOKUP($A9,'MF-226'!$A$2:$BV$53,G$1,FALSE)</f>
        <v>1328585</v>
      </c>
      <c r="H9">
        <f>VLOOKUP($A9,'MF-226'!$A$2:$BV$53,H$1,FALSE)</f>
        <v>1257051</v>
      </c>
      <c r="I9">
        <f>VLOOKUP($A9,'MF-226'!$A$2:$BV$53,I$1,FALSE)</f>
        <v>1326218</v>
      </c>
      <c r="J9">
        <f>VLOOKUP($A9,'MF-226'!$A$2:$BV$53,J$1,FALSE)</f>
        <v>1330775</v>
      </c>
      <c r="K9">
        <f>VLOOKUP($A9,'MF-226'!$A$2:$BV$53,K$1,FALSE)</f>
        <v>1373280</v>
      </c>
      <c r="L9">
        <f>VLOOKUP($A9,'MF-226'!$A$2:$BV$53,L$1,FALSE)</f>
        <v>1491660</v>
      </c>
      <c r="M9">
        <f>VLOOKUP($A9,'MF-226'!$A$2:$BV$53,M$1,FALSE)</f>
        <v>1422963.7010000001</v>
      </c>
      <c r="N9">
        <f>VLOOKUP($A9,'MF-226'!$A$2:$BV$53,N$1,FALSE)</f>
        <v>1458279</v>
      </c>
      <c r="O9">
        <f>VLOOKUP($A9,'MF-226'!$A$2:$BV$53,O$1,FALSE)</f>
        <v>1519930</v>
      </c>
      <c r="P9">
        <f>VLOOKUP($A9,'MF-226'!$A$2:$BV$53,P$1,FALSE)</f>
        <v>1610491</v>
      </c>
      <c r="Q9">
        <f>VLOOKUP($A9,'MF-226'!$A$2:$BV$53,Q$1,FALSE)</f>
        <v>1796582</v>
      </c>
      <c r="R9">
        <f>VLOOKUP($A9,'MF-226'!$A$2:$BV$53,R$1,FALSE)</f>
        <v>1566904</v>
      </c>
      <c r="S9">
        <f>VLOOKUP($A9,'MF-226'!$A$2:$BV$53,S$1,FALSE)</f>
        <v>1516783</v>
      </c>
      <c r="T9">
        <f>VLOOKUP($A9,'MF-226'!$A$2:$BV$53,T$1,FALSE)</f>
        <v>1526330</v>
      </c>
      <c r="U9">
        <f>VLOOKUP($A9,'MF-226'!$A$2:$BV$53,U$1,FALSE)</f>
        <v>1462593</v>
      </c>
      <c r="V9">
        <f>VLOOKUP($A9,'MF-226'!$A$2:$BV$53,V$1,FALSE)</f>
        <v>1479193</v>
      </c>
      <c r="W9">
        <f>VLOOKUP($A9,'MF-226'!$A$2:$BV$53,W$1,FALSE)</f>
        <v>1459754</v>
      </c>
      <c r="X9">
        <f>VLOOKUP($A9,'MF-226'!$A$2:$BV$53,X$1,FALSE)</f>
        <v>1432206</v>
      </c>
      <c r="Y9">
        <f>VLOOKUP($A9,'MF-226'!$A$2:$BV$53,Y$1,FALSE)</f>
        <v>1415334</v>
      </c>
      <c r="Z9">
        <f>VLOOKUP($A9,'MF-226'!$A$2:$BV$53,Z$1,FALSE)</f>
        <v>1398670</v>
      </c>
      <c r="AA9">
        <f>VLOOKUP($A9,'MF-226'!$A$2:$BV$53,AA$1,FALSE)</f>
        <v>1419108</v>
      </c>
      <c r="AB9">
        <f>VLOOKUP($A9,'MF-226'!$A$2:$BV$53,AB$1,FALSE)</f>
        <v>1405870</v>
      </c>
      <c r="AC9">
        <f>VLOOKUP($A9,'MF-226'!$A$2:$BV$53,AC$1,FALSE)</f>
        <v>1441862</v>
      </c>
      <c r="AD9">
        <f>VLOOKUP($A9,'MF-226'!$A$2:$BV$53,AD$1,FALSE)</f>
        <v>1434972</v>
      </c>
      <c r="AE9">
        <f>VLOOKUP($A9,'MF-226'!$A$2:$BV$53,AE$1,FALSE)</f>
        <v>1442689</v>
      </c>
      <c r="AF9">
        <f>VLOOKUP($A9,'MF-226'!$A$2:$BV$53,AF$1,FALSE)</f>
        <v>1437444</v>
      </c>
      <c r="AG9">
        <f>VLOOKUP($A9,'MF-226'!$A$2:$BV$53,AG$1,FALSE)</f>
        <v>1192564</v>
      </c>
      <c r="AH9">
        <f>VLOOKUP($A9,'MF-226'!$A$2:$BV$53,AH$1,FALSE)</f>
        <v>1310187</v>
      </c>
    </row>
    <row r="10" spans="1:34">
      <c r="A10" t="s">
        <v>7</v>
      </c>
      <c r="B10" t="str">
        <f>VLOOKUP(A10,'State Codes'!$C$10:$D$63,2,FALSE)</f>
        <v>DE</v>
      </c>
      <c r="C10">
        <f>VLOOKUP($A10,'MF-226'!$A$2:$BV$53,C$1,FALSE)</f>
        <v>332478</v>
      </c>
      <c r="D10">
        <f>VLOOKUP($A10,'MF-226'!$A$2:$BV$53,D$1,FALSE)</f>
        <v>319264</v>
      </c>
      <c r="E10">
        <f>VLOOKUP($A10,'MF-226'!$A$2:$BV$53,E$1,FALSE)</f>
        <v>338513</v>
      </c>
      <c r="F10">
        <f>VLOOKUP($A10,'MF-226'!$A$2:$BV$53,F$1,FALSE)</f>
        <v>344743</v>
      </c>
      <c r="G10">
        <f>VLOOKUP($A10,'MF-226'!$A$2:$BV$53,G$1,FALSE)</f>
        <v>344799</v>
      </c>
      <c r="H10">
        <f>VLOOKUP($A10,'MF-226'!$A$2:$BV$53,H$1,FALSE)</f>
        <v>346900</v>
      </c>
      <c r="I10">
        <f>VLOOKUP($A10,'MF-226'!$A$2:$BV$53,I$1,FALSE)</f>
        <v>347820</v>
      </c>
      <c r="J10">
        <f>VLOOKUP($A10,'MF-226'!$A$2:$BV$53,J$1,FALSE)</f>
        <v>353687</v>
      </c>
      <c r="K10">
        <f>VLOOKUP($A10,'MF-226'!$A$2:$BV$53,K$1,FALSE)</f>
        <v>373510</v>
      </c>
      <c r="L10">
        <f>VLOOKUP($A10,'MF-226'!$A$2:$BV$53,L$1,FALSE)</f>
        <v>383444</v>
      </c>
      <c r="M10">
        <f>VLOOKUP($A10,'MF-226'!$A$2:$BV$53,M$1,FALSE)</f>
        <v>371093.38099999999</v>
      </c>
      <c r="N10">
        <f>VLOOKUP($A10,'MF-226'!$A$2:$BV$53,N$1,FALSE)</f>
        <v>382043</v>
      </c>
      <c r="O10">
        <f>VLOOKUP($A10,'MF-226'!$A$2:$BV$53,O$1,FALSE)</f>
        <v>409225</v>
      </c>
      <c r="P10">
        <f>VLOOKUP($A10,'MF-226'!$A$2:$BV$53,P$1,FALSE)</f>
        <v>408311</v>
      </c>
      <c r="Q10">
        <f>VLOOKUP($A10,'MF-226'!$A$2:$BV$53,Q$1,FALSE)</f>
        <v>412075</v>
      </c>
      <c r="R10">
        <f>VLOOKUP($A10,'MF-226'!$A$2:$BV$53,R$1,FALSE)</f>
        <v>426638</v>
      </c>
      <c r="S10">
        <f>VLOOKUP($A10,'MF-226'!$A$2:$BV$53,S$1,FALSE)</f>
        <v>433203</v>
      </c>
      <c r="T10">
        <f>VLOOKUP($A10,'MF-226'!$A$2:$BV$53,T$1,FALSE)</f>
        <v>434051</v>
      </c>
      <c r="U10">
        <f>VLOOKUP($A10,'MF-226'!$A$2:$BV$53,U$1,FALSE)</f>
        <v>419204</v>
      </c>
      <c r="V10">
        <f>VLOOKUP($A10,'MF-226'!$A$2:$BV$53,V$1,FALSE)</f>
        <v>420681</v>
      </c>
      <c r="W10">
        <f>VLOOKUP($A10,'MF-226'!$A$2:$BV$53,W$1,FALSE)</f>
        <v>425326</v>
      </c>
      <c r="X10">
        <f>VLOOKUP($A10,'MF-226'!$A$2:$BV$53,X$1,FALSE)</f>
        <v>409634</v>
      </c>
      <c r="Y10">
        <f>VLOOKUP($A10,'MF-226'!$A$2:$BV$53,Y$1,FALSE)</f>
        <v>405959</v>
      </c>
      <c r="Z10">
        <f>VLOOKUP($A10,'MF-226'!$A$2:$BV$53,Z$1,FALSE)</f>
        <v>408344</v>
      </c>
      <c r="AA10">
        <f>VLOOKUP($A10,'MF-226'!$A$2:$BV$53,AA$1,FALSE)</f>
        <v>417947</v>
      </c>
      <c r="AB10">
        <f>VLOOKUP($A10,'MF-226'!$A$2:$BV$53,AB$1,FALSE)</f>
        <v>434287</v>
      </c>
      <c r="AC10">
        <f>VLOOKUP($A10,'MF-226'!$A$2:$BV$53,AC$1,FALSE)</f>
        <v>523442</v>
      </c>
      <c r="AD10">
        <f>VLOOKUP($A10,'MF-226'!$A$2:$BV$53,AD$1,FALSE)</f>
        <v>466810</v>
      </c>
      <c r="AE10">
        <f>VLOOKUP($A10,'MF-226'!$A$2:$BV$53,AE$1,FALSE)</f>
        <v>485874</v>
      </c>
      <c r="AF10">
        <f>VLOOKUP($A10,'MF-226'!$A$2:$BV$53,AF$1,FALSE)</f>
        <v>522552</v>
      </c>
      <c r="AG10">
        <f>VLOOKUP($A10,'MF-226'!$A$2:$BV$53,AG$1,FALSE)</f>
        <v>429937</v>
      </c>
      <c r="AH10">
        <f>VLOOKUP($A10,'MF-226'!$A$2:$BV$53,AH$1,FALSE)</f>
        <v>463301</v>
      </c>
    </row>
    <row r="11" spans="1:34">
      <c r="A11" t="s">
        <v>8</v>
      </c>
      <c r="B11" t="str">
        <f>VLOOKUP(A11,'State Codes'!$C$10:$D$63,2,FALSE)</f>
        <v>DC</v>
      </c>
      <c r="C11">
        <f>VLOOKUP($A11,'MF-226'!$A$2:$BV$53,C$1,FALSE)</f>
        <v>165513</v>
      </c>
      <c r="D11">
        <f>VLOOKUP($A11,'MF-226'!$A$2:$BV$53,D$1,FALSE)</f>
        <v>165983</v>
      </c>
      <c r="E11">
        <f>VLOOKUP($A11,'MF-226'!$A$2:$BV$53,E$1,FALSE)</f>
        <v>168246</v>
      </c>
      <c r="F11">
        <f>VLOOKUP($A11,'MF-226'!$A$2:$BV$53,F$1,FALSE)</f>
        <v>174992</v>
      </c>
      <c r="G11">
        <f>VLOOKUP($A11,'MF-226'!$A$2:$BV$53,G$1,FALSE)</f>
        <v>168682</v>
      </c>
      <c r="H11">
        <f>VLOOKUP($A11,'MF-226'!$A$2:$BV$53,H$1,FALSE)</f>
        <v>167701</v>
      </c>
      <c r="I11">
        <f>VLOOKUP($A11,'MF-226'!$A$2:$BV$53,I$1,FALSE)</f>
        <v>160948</v>
      </c>
      <c r="J11">
        <f>VLOOKUP($A11,'MF-226'!$A$2:$BV$53,J$1,FALSE)</f>
        <v>167144</v>
      </c>
      <c r="K11">
        <f>VLOOKUP($A11,'MF-226'!$A$2:$BV$53,K$1,FALSE)</f>
        <v>161570</v>
      </c>
      <c r="L11">
        <f>VLOOKUP($A11,'MF-226'!$A$2:$BV$53,L$1,FALSE)</f>
        <v>167820</v>
      </c>
      <c r="M11">
        <f>VLOOKUP($A11,'MF-226'!$A$2:$BV$53,M$1,FALSE)</f>
        <v>169225.03400000001</v>
      </c>
      <c r="N11">
        <f>VLOOKUP($A11,'MF-226'!$A$2:$BV$53,N$1,FALSE)</f>
        <v>148769</v>
      </c>
      <c r="O11">
        <f>VLOOKUP($A11,'MF-226'!$A$2:$BV$53,O$1,FALSE)</f>
        <v>140542</v>
      </c>
      <c r="P11">
        <f>VLOOKUP($A11,'MF-226'!$A$2:$BV$53,P$1,FALSE)</f>
        <v>131472</v>
      </c>
      <c r="Q11">
        <f>VLOOKUP($A11,'MF-226'!$A$2:$BV$53,Q$1,FALSE)</f>
        <v>138427</v>
      </c>
      <c r="R11">
        <f>VLOOKUP($A11,'MF-226'!$A$2:$BV$53,R$1,FALSE)</f>
        <v>125313</v>
      </c>
      <c r="S11">
        <f>VLOOKUP($A11,'MF-226'!$A$2:$BV$53,S$1,FALSE)</f>
        <v>123904</v>
      </c>
      <c r="T11">
        <f>VLOOKUP($A11,'MF-226'!$A$2:$BV$53,T$1,FALSE)</f>
        <v>122186</v>
      </c>
      <c r="U11">
        <f>VLOOKUP($A11,'MF-226'!$A$2:$BV$53,U$1,FALSE)</f>
        <v>100568</v>
      </c>
      <c r="V11">
        <f>VLOOKUP($A11,'MF-226'!$A$2:$BV$53,V$1,FALSE)</f>
        <v>107113</v>
      </c>
      <c r="W11">
        <f>VLOOKUP($A11,'MF-226'!$A$2:$BV$53,W$1,FALSE)</f>
        <v>103082</v>
      </c>
      <c r="X11">
        <f>VLOOKUP($A11,'MF-226'!$A$2:$BV$53,X$1,FALSE)</f>
        <v>105076</v>
      </c>
      <c r="Y11">
        <f>VLOOKUP($A11,'MF-226'!$A$2:$BV$53,Y$1,FALSE)</f>
        <v>94414</v>
      </c>
      <c r="Z11">
        <f>VLOOKUP($A11,'MF-226'!$A$2:$BV$53,Z$1,FALSE)</f>
        <v>94670</v>
      </c>
      <c r="AA11">
        <f>VLOOKUP($A11,'MF-226'!$A$2:$BV$53,AA$1,FALSE)</f>
        <v>107715</v>
      </c>
      <c r="AB11">
        <f>VLOOKUP($A11,'MF-226'!$A$2:$BV$53,AB$1,FALSE)</f>
        <v>106690</v>
      </c>
      <c r="AC11">
        <f>VLOOKUP($A11,'MF-226'!$A$2:$BV$53,AC$1,FALSE)</f>
        <v>114843</v>
      </c>
      <c r="AD11">
        <f>VLOOKUP($A11,'MF-226'!$A$2:$BV$53,AD$1,FALSE)</f>
        <v>99509</v>
      </c>
      <c r="AE11">
        <f>VLOOKUP($A11,'MF-226'!$A$2:$BV$53,AE$1,FALSE)</f>
        <v>206199</v>
      </c>
      <c r="AF11">
        <f>VLOOKUP($A11,'MF-226'!$A$2:$BV$53,AF$1,FALSE)</f>
        <v>113256</v>
      </c>
      <c r="AG11">
        <f>VLOOKUP($A11,'MF-226'!$A$2:$BV$53,AG$1,FALSE)</f>
        <v>93883</v>
      </c>
      <c r="AH11">
        <f>VLOOKUP($A11,'MF-226'!$A$2:$BV$53,AH$1,FALSE)</f>
        <v>99660</v>
      </c>
    </row>
    <row r="12" spans="1:34">
      <c r="A12" t="s">
        <v>9</v>
      </c>
      <c r="B12" t="str">
        <f>VLOOKUP(A12,'State Codes'!$C$10:$D$63,2,FALSE)</f>
        <v>FL</v>
      </c>
      <c r="C12">
        <f>VLOOKUP($A12,'MF-226'!$A$2:$BV$53,C$1,FALSE)</f>
        <v>5830693</v>
      </c>
      <c r="D12">
        <f>VLOOKUP($A12,'MF-226'!$A$2:$BV$53,D$1,FALSE)</f>
        <v>5741435</v>
      </c>
      <c r="E12">
        <f>VLOOKUP($A12,'MF-226'!$A$2:$BV$53,E$1,FALSE)</f>
        <v>5925701</v>
      </c>
      <c r="F12">
        <f>VLOOKUP($A12,'MF-226'!$A$2:$BV$53,F$1,FALSE)</f>
        <v>6255156</v>
      </c>
      <c r="G12">
        <f>VLOOKUP($A12,'MF-226'!$A$2:$BV$53,G$1,FALSE)</f>
        <v>6345491</v>
      </c>
      <c r="H12">
        <f>VLOOKUP($A12,'MF-226'!$A$2:$BV$53,H$1,FALSE)</f>
        <v>6470446</v>
      </c>
      <c r="I12">
        <f>VLOOKUP($A12,'MF-226'!$A$2:$BV$53,I$1,FALSE)</f>
        <v>6560084</v>
      </c>
      <c r="J12">
        <f>VLOOKUP($A12,'MF-226'!$A$2:$BV$53,J$1,FALSE)</f>
        <v>6677385</v>
      </c>
      <c r="K12">
        <f>VLOOKUP($A12,'MF-226'!$A$2:$BV$53,K$1,FALSE)</f>
        <v>6946216</v>
      </c>
      <c r="L12">
        <f>VLOOKUP($A12,'MF-226'!$A$2:$BV$53,L$1,FALSE)</f>
        <v>7211565</v>
      </c>
      <c r="M12">
        <f>VLOOKUP($A12,'MF-226'!$A$2:$BV$53,M$1,FALSE)</f>
        <v>7368472.4570000004</v>
      </c>
      <c r="N12">
        <f>VLOOKUP($A12,'MF-226'!$A$2:$BV$53,N$1,FALSE)</f>
        <v>7471117</v>
      </c>
      <c r="O12">
        <f>VLOOKUP($A12,'MF-226'!$A$2:$BV$53,O$1,FALSE)</f>
        <v>7720436</v>
      </c>
      <c r="P12">
        <f>VLOOKUP($A12,'MF-226'!$A$2:$BV$53,P$1,FALSE)</f>
        <v>7893121</v>
      </c>
      <c r="Q12">
        <f>VLOOKUP($A12,'MF-226'!$A$2:$BV$53,Q$1,FALSE)</f>
        <v>8255164</v>
      </c>
      <c r="R12">
        <f>VLOOKUP($A12,'MF-226'!$A$2:$BV$53,R$1,FALSE)</f>
        <v>8365589</v>
      </c>
      <c r="S12">
        <f>VLOOKUP($A12,'MF-226'!$A$2:$BV$53,S$1,FALSE)</f>
        <v>8368522</v>
      </c>
      <c r="T12">
        <f>VLOOKUP($A12,'MF-226'!$A$2:$BV$53,T$1,FALSE)</f>
        <v>8250698</v>
      </c>
      <c r="U12">
        <f>VLOOKUP($A12,'MF-226'!$A$2:$BV$53,U$1,FALSE)</f>
        <v>7903075</v>
      </c>
      <c r="V12">
        <f>VLOOKUP($A12,'MF-226'!$A$2:$BV$53,V$1,FALSE)</f>
        <v>7965595</v>
      </c>
      <c r="W12">
        <f>VLOOKUP($A12,'MF-226'!$A$2:$BV$53,W$1,FALSE)</f>
        <v>7893177</v>
      </c>
      <c r="X12">
        <f>VLOOKUP($A12,'MF-226'!$A$2:$BV$53,X$1,FALSE)</f>
        <v>7834706</v>
      </c>
      <c r="Y12">
        <f>VLOOKUP($A12,'MF-226'!$A$2:$BV$53,Y$1,FALSE)</f>
        <v>7886365</v>
      </c>
      <c r="Z12">
        <f>VLOOKUP($A12,'MF-226'!$A$2:$BV$53,Z$1,FALSE)</f>
        <v>7954688</v>
      </c>
      <c r="AA12">
        <f>VLOOKUP($A12,'MF-226'!$A$2:$BV$53,AA$1,FALSE)</f>
        <v>8248186</v>
      </c>
      <c r="AB12">
        <f>VLOOKUP($A12,'MF-226'!$A$2:$BV$53,AB$1,FALSE)</f>
        <v>8037700</v>
      </c>
      <c r="AC12">
        <f>VLOOKUP($A12,'MF-226'!$A$2:$BV$53,AC$1,FALSE)</f>
        <v>8206142</v>
      </c>
      <c r="AD12">
        <f>VLOOKUP($A12,'MF-226'!$A$2:$BV$53,AD$1,FALSE)</f>
        <v>8392520</v>
      </c>
      <c r="AE12">
        <f>VLOOKUP($A12,'MF-226'!$A$2:$BV$53,AE$1,FALSE)</f>
        <v>8539389</v>
      </c>
      <c r="AF12">
        <f>VLOOKUP($A12,'MF-226'!$A$2:$BV$53,AF$1,FALSE)</f>
        <v>8586669</v>
      </c>
      <c r="AG12">
        <f>VLOOKUP($A12,'MF-226'!$A$2:$BV$53,AG$1,FALSE)</f>
        <v>7473496</v>
      </c>
      <c r="AH12">
        <f>VLOOKUP($A12,'MF-226'!$A$2:$BV$53,AH$1,FALSE)</f>
        <v>8252295</v>
      </c>
    </row>
    <row r="13" spans="1:34">
      <c r="A13" t="s">
        <v>10</v>
      </c>
      <c r="B13" t="str">
        <f>VLOOKUP(A13,'State Codes'!$C$10:$D$63,2,FALSE)</f>
        <v>GA</v>
      </c>
      <c r="C13">
        <f>VLOOKUP($A13,'MF-226'!$A$2:$BV$53,C$1,FALSE)</f>
        <v>3455575</v>
      </c>
      <c r="D13">
        <f>VLOOKUP($A13,'MF-226'!$A$2:$BV$53,D$1,FALSE)</f>
        <v>3462670</v>
      </c>
      <c r="E13">
        <f>VLOOKUP($A13,'MF-226'!$A$2:$BV$53,E$1,FALSE)</f>
        <v>3508850</v>
      </c>
      <c r="F13">
        <f>VLOOKUP($A13,'MF-226'!$A$2:$BV$53,F$1,FALSE)</f>
        <v>3910536</v>
      </c>
      <c r="G13">
        <f>VLOOKUP($A13,'MF-226'!$A$2:$BV$53,G$1,FALSE)</f>
        <v>3927999</v>
      </c>
      <c r="H13">
        <f>VLOOKUP($A13,'MF-226'!$A$2:$BV$53,H$1,FALSE)</f>
        <v>4057778</v>
      </c>
      <c r="I13">
        <f>VLOOKUP($A13,'MF-226'!$A$2:$BV$53,I$1,FALSE)</f>
        <v>4218465</v>
      </c>
      <c r="J13">
        <f>VLOOKUP($A13,'MF-226'!$A$2:$BV$53,J$1,FALSE)</f>
        <v>4217906</v>
      </c>
      <c r="K13">
        <f>VLOOKUP($A13,'MF-226'!$A$2:$BV$53,K$1,FALSE)</f>
        <v>4456819</v>
      </c>
      <c r="L13">
        <f>VLOOKUP($A13,'MF-226'!$A$2:$BV$53,L$1,FALSE)</f>
        <v>4619658</v>
      </c>
      <c r="M13">
        <f>VLOOKUP($A13,'MF-226'!$A$2:$BV$53,M$1,FALSE)</f>
        <v>4640345.2590000005</v>
      </c>
      <c r="N13">
        <f>VLOOKUP($A13,'MF-226'!$A$2:$BV$53,N$1,FALSE)</f>
        <v>4693703</v>
      </c>
      <c r="O13">
        <f>VLOOKUP($A13,'MF-226'!$A$2:$BV$53,O$1,FALSE)</f>
        <v>4826786</v>
      </c>
      <c r="P13">
        <f>VLOOKUP($A13,'MF-226'!$A$2:$BV$53,P$1,FALSE)</f>
        <v>4899436</v>
      </c>
      <c r="Q13">
        <f>VLOOKUP($A13,'MF-226'!$A$2:$BV$53,Q$1,FALSE)</f>
        <v>4959100</v>
      </c>
      <c r="R13">
        <f>VLOOKUP($A13,'MF-226'!$A$2:$BV$53,R$1,FALSE)</f>
        <v>4965789</v>
      </c>
      <c r="S13">
        <f>VLOOKUP($A13,'MF-226'!$A$2:$BV$53,S$1,FALSE)</f>
        <v>4827210</v>
      </c>
      <c r="T13">
        <f>VLOOKUP($A13,'MF-226'!$A$2:$BV$53,T$1,FALSE)</f>
        <v>4883089</v>
      </c>
      <c r="U13">
        <f>VLOOKUP($A13,'MF-226'!$A$2:$BV$53,U$1,FALSE)</f>
        <v>4667051</v>
      </c>
      <c r="V13">
        <f>VLOOKUP($A13,'MF-226'!$A$2:$BV$53,V$1,FALSE)</f>
        <v>4786431</v>
      </c>
      <c r="W13">
        <f>VLOOKUP($A13,'MF-226'!$A$2:$BV$53,W$1,FALSE)</f>
        <v>4796734</v>
      </c>
      <c r="X13">
        <f>VLOOKUP($A13,'MF-226'!$A$2:$BV$53,X$1,FALSE)</f>
        <v>4630907</v>
      </c>
      <c r="Y13">
        <f>VLOOKUP($A13,'MF-226'!$A$2:$BV$53,Y$1,FALSE)</f>
        <v>4610055</v>
      </c>
      <c r="Z13">
        <f>VLOOKUP($A13,'MF-226'!$A$2:$BV$53,Z$1,FALSE)</f>
        <v>4736966</v>
      </c>
      <c r="AA13">
        <f>VLOOKUP($A13,'MF-226'!$A$2:$BV$53,AA$1,FALSE)</f>
        <v>4668163</v>
      </c>
      <c r="AB13">
        <f>VLOOKUP($A13,'MF-226'!$A$2:$BV$53,AB$1,FALSE)</f>
        <v>4709948</v>
      </c>
      <c r="AC13">
        <f>VLOOKUP($A13,'MF-226'!$A$2:$BV$53,AC$1,FALSE)</f>
        <v>4587799</v>
      </c>
      <c r="AD13">
        <f>VLOOKUP($A13,'MF-226'!$A$2:$BV$53,AD$1,FALSE)</f>
        <v>4812597</v>
      </c>
      <c r="AE13">
        <f>VLOOKUP($A13,'MF-226'!$A$2:$BV$53,AE$1,FALSE)</f>
        <v>4798630</v>
      </c>
      <c r="AF13">
        <f>VLOOKUP($A13,'MF-226'!$A$2:$BV$53,AF$1,FALSE)</f>
        <v>4743377</v>
      </c>
      <c r="AG13">
        <f>VLOOKUP($A13,'MF-226'!$A$2:$BV$53,AG$1,FALSE)</f>
        <v>4403166</v>
      </c>
      <c r="AH13">
        <f>VLOOKUP($A13,'MF-226'!$A$2:$BV$53,AH$1,FALSE)</f>
        <v>4531818</v>
      </c>
    </row>
    <row r="14" spans="1:34">
      <c r="A14" t="s">
        <v>11</v>
      </c>
      <c r="B14" t="str">
        <f>VLOOKUP(A14,'State Codes'!$C$10:$D$63,2,FALSE)</f>
        <v>HI</v>
      </c>
      <c r="C14">
        <f>VLOOKUP($A14,'MF-226'!$A$2:$BV$53,C$1,FALSE)</f>
        <v>360888</v>
      </c>
      <c r="D14">
        <f>VLOOKUP($A14,'MF-226'!$A$2:$BV$53,D$1,FALSE)</f>
        <v>370441</v>
      </c>
      <c r="E14">
        <f>VLOOKUP($A14,'MF-226'!$A$2:$BV$53,E$1,FALSE)</f>
        <v>370792</v>
      </c>
      <c r="F14">
        <f>VLOOKUP($A14,'MF-226'!$A$2:$BV$53,F$1,FALSE)</f>
        <v>372667</v>
      </c>
      <c r="G14">
        <f>VLOOKUP($A14,'MF-226'!$A$2:$BV$53,G$1,FALSE)</f>
        <v>385055</v>
      </c>
      <c r="H14">
        <f>VLOOKUP($A14,'MF-226'!$A$2:$BV$53,H$1,FALSE)</f>
        <v>383362</v>
      </c>
      <c r="I14">
        <f>VLOOKUP($A14,'MF-226'!$A$2:$BV$53,I$1,FALSE)</f>
        <v>382909</v>
      </c>
      <c r="J14">
        <f>VLOOKUP($A14,'MF-226'!$A$2:$BV$53,J$1,FALSE)</f>
        <v>382944</v>
      </c>
      <c r="K14">
        <f>VLOOKUP($A14,'MF-226'!$A$2:$BV$53,K$1,FALSE)</f>
        <v>381223</v>
      </c>
      <c r="L14">
        <f>VLOOKUP($A14,'MF-226'!$A$2:$BV$53,L$1,FALSE)</f>
        <v>372078</v>
      </c>
      <c r="M14">
        <f>VLOOKUP($A14,'MF-226'!$A$2:$BV$53,M$1,FALSE)</f>
        <v>384107.98700000002</v>
      </c>
      <c r="N14">
        <f>VLOOKUP($A14,'MF-226'!$A$2:$BV$53,N$1,FALSE)</f>
        <v>404684</v>
      </c>
      <c r="O14">
        <f>VLOOKUP($A14,'MF-226'!$A$2:$BV$53,O$1,FALSE)</f>
        <v>433325</v>
      </c>
      <c r="P14">
        <f>VLOOKUP($A14,'MF-226'!$A$2:$BV$53,P$1,FALSE)</f>
        <v>442905</v>
      </c>
      <c r="Q14">
        <f>VLOOKUP($A14,'MF-226'!$A$2:$BV$53,Q$1,FALSE)</f>
        <v>444469</v>
      </c>
      <c r="R14">
        <f>VLOOKUP($A14,'MF-226'!$A$2:$BV$53,R$1,FALSE)</f>
        <v>450140</v>
      </c>
      <c r="S14">
        <f>VLOOKUP($A14,'MF-226'!$A$2:$BV$53,S$1,FALSE)</f>
        <v>467833</v>
      </c>
      <c r="T14">
        <f>VLOOKUP($A14,'MF-226'!$A$2:$BV$53,T$1,FALSE)</f>
        <v>453984</v>
      </c>
      <c r="U14">
        <f>VLOOKUP($A14,'MF-226'!$A$2:$BV$53,U$1,FALSE)</f>
        <v>431549</v>
      </c>
      <c r="V14">
        <f>VLOOKUP($A14,'MF-226'!$A$2:$BV$53,V$1,FALSE)</f>
        <v>437279</v>
      </c>
      <c r="W14">
        <f>VLOOKUP($A14,'MF-226'!$A$2:$BV$53,W$1,FALSE)</f>
        <v>409601</v>
      </c>
      <c r="X14">
        <f>VLOOKUP($A14,'MF-226'!$A$2:$BV$53,X$1,FALSE)</f>
        <v>461331</v>
      </c>
      <c r="Y14">
        <f>VLOOKUP($A14,'MF-226'!$A$2:$BV$53,Y$1,FALSE)</f>
        <v>436913</v>
      </c>
      <c r="Z14">
        <f>VLOOKUP($A14,'MF-226'!$A$2:$BV$53,Z$1,FALSE)</f>
        <v>437641</v>
      </c>
      <c r="AA14">
        <f>VLOOKUP($A14,'MF-226'!$A$2:$BV$53,AA$1,FALSE)</f>
        <v>455279</v>
      </c>
      <c r="AB14">
        <f>VLOOKUP($A14,'MF-226'!$A$2:$BV$53,AB$1,FALSE)</f>
        <v>429113</v>
      </c>
      <c r="AC14">
        <f>VLOOKUP($A14,'MF-226'!$A$2:$BV$53,AC$1,FALSE)</f>
        <v>444048</v>
      </c>
      <c r="AD14">
        <f>VLOOKUP($A14,'MF-226'!$A$2:$BV$53,AD$1,FALSE)</f>
        <v>441219</v>
      </c>
      <c r="AE14">
        <f>VLOOKUP($A14,'MF-226'!$A$2:$BV$53,AE$1,FALSE)</f>
        <v>431109</v>
      </c>
      <c r="AF14">
        <f>VLOOKUP($A14,'MF-226'!$A$2:$BV$53,AF$1,FALSE)</f>
        <v>436711</v>
      </c>
      <c r="AG14">
        <f>VLOOKUP($A14,'MF-226'!$A$2:$BV$53,AG$1,FALSE)</f>
        <v>335260</v>
      </c>
      <c r="AH14">
        <f>VLOOKUP($A14,'MF-226'!$A$2:$BV$53,AH$1,FALSE)</f>
        <v>388680</v>
      </c>
    </row>
    <row r="15" spans="1:34">
      <c r="A15" t="s">
        <v>12</v>
      </c>
      <c r="B15" t="str">
        <f>VLOOKUP(A15,'State Codes'!$C$10:$D$63,2,FALSE)</f>
        <v>ID</v>
      </c>
      <c r="C15">
        <f>VLOOKUP($A15,'MF-226'!$A$2:$BV$53,C$1,FALSE)</f>
        <v>464899</v>
      </c>
      <c r="D15">
        <f>VLOOKUP($A15,'MF-226'!$A$2:$BV$53,D$1,FALSE)</f>
        <v>455365</v>
      </c>
      <c r="E15">
        <f>VLOOKUP($A15,'MF-226'!$A$2:$BV$53,E$1,FALSE)</f>
        <v>479204</v>
      </c>
      <c r="F15">
        <f>VLOOKUP($A15,'MF-226'!$A$2:$BV$53,F$1,FALSE)</f>
        <v>522739</v>
      </c>
      <c r="G15">
        <f>VLOOKUP($A15,'MF-226'!$A$2:$BV$53,G$1,FALSE)</f>
        <v>528438</v>
      </c>
      <c r="H15">
        <f>VLOOKUP($A15,'MF-226'!$A$2:$BV$53,H$1,FALSE)</f>
        <v>544855</v>
      </c>
      <c r="I15">
        <f>VLOOKUP($A15,'MF-226'!$A$2:$BV$53,I$1,FALSE)</f>
        <v>569417</v>
      </c>
      <c r="J15">
        <f>VLOOKUP($A15,'MF-226'!$A$2:$BV$53,J$1,FALSE)</f>
        <v>586629</v>
      </c>
      <c r="K15">
        <f>VLOOKUP($A15,'MF-226'!$A$2:$BV$53,K$1,FALSE)</f>
        <v>621506</v>
      </c>
      <c r="L15">
        <f>VLOOKUP($A15,'MF-226'!$A$2:$BV$53,L$1,FALSE)</f>
        <v>654935</v>
      </c>
      <c r="M15">
        <f>VLOOKUP($A15,'MF-226'!$A$2:$BV$53,M$1,FALSE)</f>
        <v>631692.16200000001</v>
      </c>
      <c r="N15">
        <f>VLOOKUP($A15,'MF-226'!$A$2:$BV$53,N$1,FALSE)</f>
        <v>609051</v>
      </c>
      <c r="O15">
        <f>VLOOKUP($A15,'MF-226'!$A$2:$BV$53,O$1,FALSE)</f>
        <v>625328</v>
      </c>
      <c r="P15">
        <f>VLOOKUP($A15,'MF-226'!$A$2:$BV$53,P$1,FALSE)</f>
        <v>593515</v>
      </c>
      <c r="Q15">
        <f>VLOOKUP($A15,'MF-226'!$A$2:$BV$53,Q$1,FALSE)</f>
        <v>595752</v>
      </c>
      <c r="R15">
        <f>VLOOKUP($A15,'MF-226'!$A$2:$BV$53,R$1,FALSE)</f>
        <v>582140</v>
      </c>
      <c r="S15">
        <f>VLOOKUP($A15,'MF-226'!$A$2:$BV$53,S$1,FALSE)</f>
        <v>607855</v>
      </c>
      <c r="T15">
        <f>VLOOKUP($A15,'MF-226'!$A$2:$BV$53,T$1,FALSE)</f>
        <v>630155</v>
      </c>
      <c r="U15">
        <f>VLOOKUP($A15,'MF-226'!$A$2:$BV$53,U$1,FALSE)</f>
        <v>621448</v>
      </c>
      <c r="V15">
        <f>VLOOKUP($A15,'MF-226'!$A$2:$BV$53,V$1,FALSE)</f>
        <v>627966</v>
      </c>
      <c r="W15">
        <f>VLOOKUP($A15,'MF-226'!$A$2:$BV$53,W$1,FALSE)</f>
        <v>657282</v>
      </c>
      <c r="X15">
        <f>VLOOKUP($A15,'MF-226'!$A$2:$BV$53,X$1,FALSE)</f>
        <v>643170</v>
      </c>
      <c r="Y15">
        <f>VLOOKUP($A15,'MF-226'!$A$2:$BV$53,Y$1,FALSE)</f>
        <v>660533</v>
      </c>
      <c r="Z15">
        <f>VLOOKUP($A15,'MF-226'!$A$2:$BV$53,Z$1,FALSE)</f>
        <v>666601</v>
      </c>
      <c r="AA15">
        <f>VLOOKUP($A15,'MF-226'!$A$2:$BV$53,AA$1,FALSE)</f>
        <v>703882</v>
      </c>
      <c r="AB15">
        <f>VLOOKUP($A15,'MF-226'!$A$2:$BV$53,AB$1,FALSE)</f>
        <v>673253</v>
      </c>
      <c r="AC15">
        <f>VLOOKUP($A15,'MF-226'!$A$2:$BV$53,AC$1,FALSE)</f>
        <v>717347</v>
      </c>
      <c r="AD15">
        <f>VLOOKUP($A15,'MF-226'!$A$2:$BV$53,AD$1,FALSE)</f>
        <v>733892</v>
      </c>
      <c r="AE15">
        <f>VLOOKUP($A15,'MF-226'!$A$2:$BV$53,AE$1,FALSE)</f>
        <v>688307</v>
      </c>
      <c r="AF15">
        <f>VLOOKUP($A15,'MF-226'!$A$2:$BV$53,AF$1,FALSE)</f>
        <v>734046</v>
      </c>
      <c r="AG15">
        <f>VLOOKUP($A15,'MF-226'!$A$2:$BV$53,AG$1,FALSE)</f>
        <v>707918</v>
      </c>
      <c r="AH15">
        <f>VLOOKUP($A15,'MF-226'!$A$2:$BV$53,AH$1,FALSE)</f>
        <v>758838</v>
      </c>
    </row>
    <row r="16" spans="1:34">
      <c r="A16" t="s">
        <v>13</v>
      </c>
      <c r="B16" t="str">
        <f>VLOOKUP(A16,'State Codes'!$C$10:$D$63,2,FALSE)</f>
        <v>IL</v>
      </c>
      <c r="C16">
        <f>VLOOKUP($A16,'MF-226'!$A$2:$BV$53,C$1,FALSE)</f>
        <v>4441642</v>
      </c>
      <c r="D16">
        <f>VLOOKUP($A16,'MF-226'!$A$2:$BV$53,D$1,FALSE)</f>
        <v>4345307</v>
      </c>
      <c r="E16">
        <f>VLOOKUP($A16,'MF-226'!$A$2:$BV$53,E$1,FALSE)</f>
        <v>4483515</v>
      </c>
      <c r="F16">
        <f>VLOOKUP($A16,'MF-226'!$A$2:$BV$53,F$1,FALSE)</f>
        <v>4572328</v>
      </c>
      <c r="G16">
        <f>VLOOKUP($A16,'MF-226'!$A$2:$BV$53,G$1,FALSE)</f>
        <v>4651703</v>
      </c>
      <c r="H16">
        <f>VLOOKUP($A16,'MF-226'!$A$2:$BV$53,H$1,FALSE)</f>
        <v>4593398</v>
      </c>
      <c r="I16">
        <f>VLOOKUP($A16,'MF-226'!$A$2:$BV$53,I$1,FALSE)</f>
        <v>4631162</v>
      </c>
      <c r="J16">
        <f>VLOOKUP($A16,'MF-226'!$A$2:$BV$53,J$1,FALSE)</f>
        <v>4705717</v>
      </c>
      <c r="K16">
        <f>VLOOKUP($A16,'MF-226'!$A$2:$BV$53,K$1,FALSE)</f>
        <v>4724884</v>
      </c>
      <c r="L16">
        <f>VLOOKUP($A16,'MF-226'!$A$2:$BV$53,L$1,FALSE)</f>
        <v>4989037</v>
      </c>
      <c r="M16">
        <f>VLOOKUP($A16,'MF-226'!$A$2:$BV$53,M$1,FALSE)</f>
        <v>5012000.2</v>
      </c>
      <c r="N16">
        <f>VLOOKUP($A16,'MF-226'!$A$2:$BV$53,N$1,FALSE)</f>
        <v>5015217</v>
      </c>
      <c r="O16">
        <f>VLOOKUP($A16,'MF-226'!$A$2:$BV$53,O$1,FALSE)</f>
        <v>5060607</v>
      </c>
      <c r="P16">
        <f>VLOOKUP($A16,'MF-226'!$A$2:$BV$53,P$1,FALSE)</f>
        <v>5077060</v>
      </c>
      <c r="Q16">
        <f>VLOOKUP($A16,'MF-226'!$A$2:$BV$53,Q$1,FALSE)</f>
        <v>5167835</v>
      </c>
      <c r="R16">
        <f>VLOOKUP($A16,'MF-226'!$A$2:$BV$53,R$1,FALSE)</f>
        <v>5053245</v>
      </c>
      <c r="S16">
        <f>VLOOKUP($A16,'MF-226'!$A$2:$BV$53,S$1,FALSE)</f>
        <v>5011306</v>
      </c>
      <c r="T16">
        <f>VLOOKUP($A16,'MF-226'!$A$2:$BV$53,T$1,FALSE)</f>
        <v>4999558</v>
      </c>
      <c r="U16">
        <f>VLOOKUP($A16,'MF-226'!$A$2:$BV$53,U$1,FALSE)</f>
        <v>4836836</v>
      </c>
      <c r="V16">
        <f>VLOOKUP($A16,'MF-226'!$A$2:$BV$53,V$1,FALSE)</f>
        <v>4772810</v>
      </c>
      <c r="W16">
        <f>VLOOKUP($A16,'MF-226'!$A$2:$BV$53,W$1,FALSE)</f>
        <v>4760179</v>
      </c>
      <c r="X16">
        <f>VLOOKUP($A16,'MF-226'!$A$2:$BV$53,X$1,FALSE)</f>
        <v>4584599</v>
      </c>
      <c r="Y16">
        <f>VLOOKUP($A16,'MF-226'!$A$2:$BV$53,Y$1,FALSE)</f>
        <v>4520233</v>
      </c>
      <c r="Z16">
        <f>VLOOKUP($A16,'MF-226'!$A$2:$BV$53,Z$1,FALSE)</f>
        <v>4504374</v>
      </c>
      <c r="AA16">
        <f>VLOOKUP($A16,'MF-226'!$A$2:$BV$53,AA$1,FALSE)</f>
        <v>4645212</v>
      </c>
      <c r="AB16">
        <f>VLOOKUP($A16,'MF-226'!$A$2:$BV$53,AB$1,FALSE)</f>
        <v>4850518</v>
      </c>
      <c r="AC16">
        <f>VLOOKUP($A16,'MF-226'!$A$2:$BV$53,AC$1,FALSE)</f>
        <v>4645051</v>
      </c>
      <c r="AD16">
        <f>VLOOKUP($A16,'MF-226'!$A$2:$BV$53,AD$1,FALSE)</f>
        <v>4613983</v>
      </c>
      <c r="AE16">
        <f>VLOOKUP($A16,'MF-226'!$A$2:$BV$53,AE$1,FALSE)</f>
        <v>4564577</v>
      </c>
      <c r="AF16">
        <f>VLOOKUP($A16,'MF-226'!$A$2:$BV$53,AF$1,FALSE)</f>
        <v>4454984</v>
      </c>
      <c r="AG16">
        <f>VLOOKUP($A16,'MF-226'!$A$2:$BV$53,AG$1,FALSE)</f>
        <v>3662554</v>
      </c>
      <c r="AH16">
        <f>VLOOKUP($A16,'MF-226'!$A$2:$BV$53,AH$1,FALSE)</f>
        <v>3993039</v>
      </c>
    </row>
    <row r="17" spans="1:34">
      <c r="A17" t="s">
        <v>14</v>
      </c>
      <c r="B17" t="str">
        <f>VLOOKUP(A17,'State Codes'!$C$10:$D$63,2,FALSE)</f>
        <v>IN</v>
      </c>
      <c r="C17">
        <f>VLOOKUP($A17,'MF-226'!$A$2:$BV$53,C$1,FALSE)</f>
        <v>2589010</v>
      </c>
      <c r="D17">
        <f>VLOOKUP($A17,'MF-226'!$A$2:$BV$53,D$1,FALSE)</f>
        <v>2542833</v>
      </c>
      <c r="E17">
        <f>VLOOKUP($A17,'MF-226'!$A$2:$BV$53,E$1,FALSE)</f>
        <v>2606881</v>
      </c>
      <c r="F17">
        <f>VLOOKUP($A17,'MF-226'!$A$2:$BV$53,F$1,FALSE)</f>
        <v>2738094</v>
      </c>
      <c r="G17">
        <f>VLOOKUP($A17,'MF-226'!$A$2:$BV$53,G$1,FALSE)</f>
        <v>2794766</v>
      </c>
      <c r="H17">
        <f>VLOOKUP($A17,'MF-226'!$A$2:$BV$53,H$1,FALSE)</f>
        <v>2902287</v>
      </c>
      <c r="I17">
        <f>VLOOKUP($A17,'MF-226'!$A$2:$BV$53,I$1,FALSE)</f>
        <v>2895763</v>
      </c>
      <c r="J17">
        <f>VLOOKUP($A17,'MF-226'!$A$2:$BV$53,J$1,FALSE)</f>
        <v>2905263</v>
      </c>
      <c r="K17">
        <f>VLOOKUP($A17,'MF-226'!$A$2:$BV$53,K$1,FALSE)</f>
        <v>3094446</v>
      </c>
      <c r="L17">
        <f>VLOOKUP($A17,'MF-226'!$A$2:$BV$53,L$1,FALSE)</f>
        <v>3048711</v>
      </c>
      <c r="M17">
        <f>VLOOKUP($A17,'MF-226'!$A$2:$BV$53,M$1,FALSE)</f>
        <v>3094610.7689999999</v>
      </c>
      <c r="N17">
        <f>VLOOKUP($A17,'MF-226'!$A$2:$BV$53,N$1,FALSE)</f>
        <v>3120985</v>
      </c>
      <c r="O17">
        <f>VLOOKUP($A17,'MF-226'!$A$2:$BV$53,O$1,FALSE)</f>
        <v>3076612</v>
      </c>
      <c r="P17">
        <f>VLOOKUP($A17,'MF-226'!$A$2:$BV$53,P$1,FALSE)</f>
        <v>3197024</v>
      </c>
      <c r="Q17">
        <f>VLOOKUP($A17,'MF-226'!$A$2:$BV$53,Q$1,FALSE)</f>
        <v>3173039</v>
      </c>
      <c r="R17">
        <f>VLOOKUP($A17,'MF-226'!$A$2:$BV$53,R$1,FALSE)</f>
        <v>3131836</v>
      </c>
      <c r="S17">
        <f>VLOOKUP($A17,'MF-226'!$A$2:$BV$53,S$1,FALSE)</f>
        <v>3097830</v>
      </c>
      <c r="T17">
        <f>VLOOKUP($A17,'MF-226'!$A$2:$BV$53,T$1,FALSE)</f>
        <v>3053154</v>
      </c>
      <c r="U17">
        <f>VLOOKUP($A17,'MF-226'!$A$2:$BV$53,U$1,FALSE)</f>
        <v>2970967</v>
      </c>
      <c r="V17">
        <f>VLOOKUP($A17,'MF-226'!$A$2:$BV$53,V$1,FALSE)</f>
        <v>2945733</v>
      </c>
      <c r="W17">
        <f>VLOOKUP($A17,'MF-226'!$A$2:$BV$53,W$1,FALSE)</f>
        <v>3040895</v>
      </c>
      <c r="X17">
        <f>VLOOKUP($A17,'MF-226'!$A$2:$BV$53,X$1,FALSE)</f>
        <v>2930702</v>
      </c>
      <c r="Y17">
        <f>VLOOKUP($A17,'MF-226'!$A$2:$BV$53,Y$1,FALSE)</f>
        <v>2893749</v>
      </c>
      <c r="Z17">
        <f>VLOOKUP($A17,'MF-226'!$A$2:$BV$53,Z$1,FALSE)</f>
        <v>2906274</v>
      </c>
      <c r="AA17">
        <f>VLOOKUP($A17,'MF-226'!$A$2:$BV$53,AA$1,FALSE)</f>
        <v>3024572</v>
      </c>
      <c r="AB17">
        <f>VLOOKUP($A17,'MF-226'!$A$2:$BV$53,AB$1,FALSE)</f>
        <v>2999321</v>
      </c>
      <c r="AC17">
        <f>VLOOKUP($A17,'MF-226'!$A$2:$BV$53,AC$1,FALSE)</f>
        <v>3046109</v>
      </c>
      <c r="AD17">
        <f>VLOOKUP($A17,'MF-226'!$A$2:$BV$53,AD$1,FALSE)</f>
        <v>3044745</v>
      </c>
      <c r="AE17">
        <f>VLOOKUP($A17,'MF-226'!$A$2:$BV$53,AE$1,FALSE)</f>
        <v>2971529</v>
      </c>
      <c r="AF17">
        <f>VLOOKUP($A17,'MF-226'!$A$2:$BV$53,AF$1,FALSE)</f>
        <v>2934667</v>
      </c>
      <c r="AG17">
        <f>VLOOKUP($A17,'MF-226'!$A$2:$BV$53,AG$1,FALSE)</f>
        <v>2698260</v>
      </c>
      <c r="AH17">
        <f>VLOOKUP($A17,'MF-226'!$A$2:$BV$53,AH$1,FALSE)</f>
        <v>2964920</v>
      </c>
    </row>
    <row r="18" spans="1:34">
      <c r="A18" t="s">
        <v>15</v>
      </c>
      <c r="B18" t="str">
        <f>VLOOKUP(A18,'State Codes'!$C$10:$D$63,2,FALSE)</f>
        <v>IA</v>
      </c>
      <c r="C18">
        <f>VLOOKUP($A18,'MF-226'!$A$2:$BV$53,C$1,FALSE)</f>
        <v>1296381</v>
      </c>
      <c r="D18">
        <f>VLOOKUP($A18,'MF-226'!$A$2:$BV$53,D$1,FALSE)</f>
        <v>1287864</v>
      </c>
      <c r="E18">
        <f>VLOOKUP($A18,'MF-226'!$A$2:$BV$53,E$1,FALSE)</f>
        <v>1281169</v>
      </c>
      <c r="F18">
        <f>VLOOKUP($A18,'MF-226'!$A$2:$BV$53,F$1,FALSE)</f>
        <v>1323502</v>
      </c>
      <c r="G18">
        <f>VLOOKUP($A18,'MF-226'!$A$2:$BV$53,G$1,FALSE)</f>
        <v>1388391</v>
      </c>
      <c r="H18">
        <f>VLOOKUP($A18,'MF-226'!$A$2:$BV$53,H$1,FALSE)</f>
        <v>1396552</v>
      </c>
      <c r="I18">
        <f>VLOOKUP($A18,'MF-226'!$A$2:$BV$53,I$1,FALSE)</f>
        <v>1456486</v>
      </c>
      <c r="J18">
        <f>VLOOKUP($A18,'MF-226'!$A$2:$BV$53,J$1,FALSE)</f>
        <v>1433765</v>
      </c>
      <c r="K18">
        <f>VLOOKUP($A18,'MF-226'!$A$2:$BV$53,K$1,FALSE)</f>
        <v>1498561</v>
      </c>
      <c r="L18">
        <f>VLOOKUP($A18,'MF-226'!$A$2:$BV$53,L$1,FALSE)</f>
        <v>1512989</v>
      </c>
      <c r="M18">
        <f>VLOOKUP($A18,'MF-226'!$A$2:$BV$53,M$1,FALSE)</f>
        <v>1494514.0929999999</v>
      </c>
      <c r="N18">
        <f>VLOOKUP($A18,'MF-226'!$A$2:$BV$53,N$1,FALSE)</f>
        <v>1475812</v>
      </c>
      <c r="O18">
        <f>VLOOKUP($A18,'MF-226'!$A$2:$BV$53,O$1,FALSE)</f>
        <v>1519134</v>
      </c>
      <c r="P18">
        <f>VLOOKUP($A18,'MF-226'!$A$2:$BV$53,P$1,FALSE)</f>
        <v>1532197</v>
      </c>
      <c r="Q18">
        <f>VLOOKUP($A18,'MF-226'!$A$2:$BV$53,Q$1,FALSE)</f>
        <v>1543332</v>
      </c>
      <c r="R18">
        <f>VLOOKUP($A18,'MF-226'!$A$2:$BV$53,R$1,FALSE)</f>
        <v>1528512</v>
      </c>
      <c r="S18">
        <f>VLOOKUP($A18,'MF-226'!$A$2:$BV$53,S$1,FALSE)</f>
        <v>1528570</v>
      </c>
      <c r="T18">
        <f>VLOOKUP($A18,'MF-226'!$A$2:$BV$53,T$1,FALSE)</f>
        <v>1518186</v>
      </c>
      <c r="U18">
        <f>VLOOKUP($A18,'MF-226'!$A$2:$BV$53,U$1,FALSE)</f>
        <v>1500415</v>
      </c>
      <c r="V18">
        <f>VLOOKUP($A18,'MF-226'!$A$2:$BV$53,V$1,FALSE)</f>
        <v>1511323</v>
      </c>
      <c r="W18">
        <f>VLOOKUP($A18,'MF-226'!$A$2:$BV$53,W$1,FALSE)</f>
        <v>1544035</v>
      </c>
      <c r="X18">
        <f>VLOOKUP($A18,'MF-226'!$A$2:$BV$53,X$1,FALSE)</f>
        <v>1570233</v>
      </c>
      <c r="Y18">
        <f>VLOOKUP($A18,'MF-226'!$A$2:$BV$53,Y$1,FALSE)</f>
        <v>1474297</v>
      </c>
      <c r="Z18">
        <f>VLOOKUP($A18,'MF-226'!$A$2:$BV$53,Z$1,FALSE)</f>
        <v>1495747</v>
      </c>
      <c r="AA18">
        <f>VLOOKUP($A18,'MF-226'!$A$2:$BV$53,AA$1,FALSE)</f>
        <v>1570178</v>
      </c>
      <c r="AB18">
        <f>VLOOKUP($A18,'MF-226'!$A$2:$BV$53,AB$1,FALSE)</f>
        <v>1486300</v>
      </c>
      <c r="AC18">
        <f>VLOOKUP($A18,'MF-226'!$A$2:$BV$53,AC$1,FALSE)</f>
        <v>1649512</v>
      </c>
      <c r="AD18">
        <f>VLOOKUP($A18,'MF-226'!$A$2:$BV$53,AD$1,FALSE)</f>
        <v>1497134</v>
      </c>
      <c r="AE18">
        <f>VLOOKUP($A18,'MF-226'!$A$2:$BV$53,AE$1,FALSE)</f>
        <v>1483052</v>
      </c>
      <c r="AF18">
        <f>VLOOKUP($A18,'MF-226'!$A$2:$BV$53,AF$1,FALSE)</f>
        <v>1486910</v>
      </c>
      <c r="AG18">
        <f>VLOOKUP($A18,'MF-226'!$A$2:$BV$53,AG$1,FALSE)</f>
        <v>1309964</v>
      </c>
      <c r="AH18">
        <f>VLOOKUP($A18,'MF-226'!$A$2:$BV$53,AH$1,FALSE)</f>
        <v>1471486</v>
      </c>
    </row>
    <row r="19" spans="1:34">
      <c r="A19" t="s">
        <v>16</v>
      </c>
      <c r="B19" t="str">
        <f>VLOOKUP(A19,'State Codes'!$C$10:$D$63,2,FALSE)</f>
        <v>KS</v>
      </c>
      <c r="C19">
        <f>VLOOKUP($A19,'MF-226'!$A$2:$BV$53,C$1,FALSE)</f>
        <v>1180600</v>
      </c>
      <c r="D19">
        <f>VLOOKUP($A19,'MF-226'!$A$2:$BV$53,D$1,FALSE)</f>
        <v>1148794</v>
      </c>
      <c r="E19">
        <f>VLOOKUP($A19,'MF-226'!$A$2:$BV$53,E$1,FALSE)</f>
        <v>1156517</v>
      </c>
      <c r="F19">
        <f>VLOOKUP($A19,'MF-226'!$A$2:$BV$53,F$1,FALSE)</f>
        <v>1168705</v>
      </c>
      <c r="G19">
        <f>VLOOKUP($A19,'MF-226'!$A$2:$BV$53,G$1,FALSE)</f>
        <v>1192638</v>
      </c>
      <c r="H19">
        <f>VLOOKUP($A19,'MF-226'!$A$2:$BV$53,H$1,FALSE)</f>
        <v>1190041</v>
      </c>
      <c r="I19">
        <f>VLOOKUP($A19,'MF-226'!$A$2:$BV$53,I$1,FALSE)</f>
        <v>1258374</v>
      </c>
      <c r="J19">
        <f>VLOOKUP($A19,'MF-226'!$A$2:$BV$53,J$1,FALSE)</f>
        <v>1247800</v>
      </c>
      <c r="K19">
        <f>VLOOKUP($A19,'MF-226'!$A$2:$BV$53,K$1,FALSE)</f>
        <v>1298007</v>
      </c>
      <c r="L19">
        <f>VLOOKUP($A19,'MF-226'!$A$2:$BV$53,L$1,FALSE)</f>
        <v>1393463</v>
      </c>
      <c r="M19">
        <f>VLOOKUP($A19,'MF-226'!$A$2:$BV$53,M$1,FALSE)</f>
        <v>1314816.6950000001</v>
      </c>
      <c r="N19">
        <f>VLOOKUP($A19,'MF-226'!$A$2:$BV$53,N$1,FALSE)</f>
        <v>1236951</v>
      </c>
      <c r="O19">
        <f>VLOOKUP($A19,'MF-226'!$A$2:$BV$53,O$1,FALSE)</f>
        <v>1161487</v>
      </c>
      <c r="P19">
        <f>VLOOKUP($A19,'MF-226'!$A$2:$BV$53,P$1,FALSE)</f>
        <v>1337343</v>
      </c>
      <c r="Q19">
        <f>VLOOKUP($A19,'MF-226'!$A$2:$BV$53,Q$1,FALSE)</f>
        <v>1282196</v>
      </c>
      <c r="R19">
        <f>VLOOKUP($A19,'MF-226'!$A$2:$BV$53,R$1,FALSE)</f>
        <v>1117791</v>
      </c>
      <c r="S19">
        <f>VLOOKUP($A19,'MF-226'!$A$2:$BV$53,S$1,FALSE)</f>
        <v>1241476</v>
      </c>
      <c r="T19">
        <f>VLOOKUP($A19,'MF-226'!$A$2:$BV$53,T$1,FALSE)</f>
        <v>1266187</v>
      </c>
      <c r="U19">
        <f>VLOOKUP($A19,'MF-226'!$A$2:$BV$53,U$1,FALSE)</f>
        <v>1259882</v>
      </c>
      <c r="V19">
        <f>VLOOKUP($A19,'MF-226'!$A$2:$BV$53,V$1,FALSE)</f>
        <v>1277966</v>
      </c>
      <c r="W19">
        <f>VLOOKUP($A19,'MF-226'!$A$2:$BV$53,W$1,FALSE)</f>
        <v>1296822</v>
      </c>
      <c r="X19">
        <f>VLOOKUP($A19,'MF-226'!$A$2:$BV$53,X$1,FALSE)</f>
        <v>1262070</v>
      </c>
      <c r="Y19">
        <f>VLOOKUP($A19,'MF-226'!$A$2:$BV$53,Y$1,FALSE)</f>
        <v>1208024</v>
      </c>
      <c r="Z19">
        <f>VLOOKUP($A19,'MF-226'!$A$2:$BV$53,Z$1,FALSE)</f>
        <v>1253991</v>
      </c>
      <c r="AA19">
        <f>VLOOKUP($A19,'MF-226'!$A$2:$BV$53,AA$1,FALSE)</f>
        <v>1322139</v>
      </c>
      <c r="AB19">
        <f>VLOOKUP($A19,'MF-226'!$A$2:$BV$53,AB$1,FALSE)</f>
        <v>1194249</v>
      </c>
      <c r="AC19">
        <f>VLOOKUP($A19,'MF-226'!$A$2:$BV$53,AC$1,FALSE)</f>
        <v>1287766</v>
      </c>
      <c r="AD19">
        <f>VLOOKUP($A19,'MF-226'!$A$2:$BV$53,AD$1,FALSE)</f>
        <v>1227362</v>
      </c>
      <c r="AE19">
        <f>VLOOKUP($A19,'MF-226'!$A$2:$BV$53,AE$1,FALSE)</f>
        <v>1205658</v>
      </c>
      <c r="AF19">
        <f>VLOOKUP($A19,'MF-226'!$A$2:$BV$53,AF$1,FALSE)</f>
        <v>1284250</v>
      </c>
      <c r="AG19">
        <f>VLOOKUP($A19,'MF-226'!$A$2:$BV$53,AG$1,FALSE)</f>
        <v>1179982</v>
      </c>
      <c r="AH19">
        <f>VLOOKUP($A19,'MF-226'!$A$2:$BV$53,AH$1,FALSE)</f>
        <v>1202904</v>
      </c>
    </row>
    <row r="20" spans="1:34">
      <c r="A20" t="s">
        <v>17</v>
      </c>
      <c r="B20" t="str">
        <f>VLOOKUP(A20,'State Codes'!$C$10:$D$63,2,FALSE)</f>
        <v>KY</v>
      </c>
      <c r="C20">
        <f>VLOOKUP($A20,'MF-226'!$A$2:$BV$53,C$1,FALSE)</f>
        <v>1779908</v>
      </c>
      <c r="D20">
        <f>VLOOKUP($A20,'MF-226'!$A$2:$BV$53,D$1,FALSE)</f>
        <v>1799146</v>
      </c>
      <c r="E20">
        <f>VLOOKUP($A20,'MF-226'!$A$2:$BV$53,E$1,FALSE)</f>
        <v>1869812</v>
      </c>
      <c r="F20">
        <f>VLOOKUP($A20,'MF-226'!$A$2:$BV$53,F$1,FALSE)</f>
        <v>1890024</v>
      </c>
      <c r="G20">
        <f>VLOOKUP($A20,'MF-226'!$A$2:$BV$53,G$1,FALSE)</f>
        <v>1907606</v>
      </c>
      <c r="H20">
        <f>VLOOKUP($A20,'MF-226'!$A$2:$BV$53,H$1,FALSE)</f>
        <v>1960974</v>
      </c>
      <c r="I20">
        <f>VLOOKUP($A20,'MF-226'!$A$2:$BV$53,I$1,FALSE)</f>
        <v>1776376</v>
      </c>
      <c r="J20">
        <f>VLOOKUP($A20,'MF-226'!$A$2:$BV$53,J$1,FALSE)</f>
        <v>2056492</v>
      </c>
      <c r="K20">
        <f>VLOOKUP($A20,'MF-226'!$A$2:$BV$53,K$1,FALSE)</f>
        <v>2072992</v>
      </c>
      <c r="L20">
        <f>VLOOKUP($A20,'MF-226'!$A$2:$BV$53,L$1,FALSE)</f>
        <v>2120311</v>
      </c>
      <c r="M20">
        <f>VLOOKUP($A20,'MF-226'!$A$2:$BV$53,M$1,FALSE)</f>
        <v>2020900.9789999998</v>
      </c>
      <c r="N20">
        <f>VLOOKUP($A20,'MF-226'!$A$2:$BV$53,N$1,FALSE)</f>
        <v>2085629</v>
      </c>
      <c r="O20">
        <f>VLOOKUP($A20,'MF-226'!$A$2:$BV$53,O$1,FALSE)</f>
        <v>2062529</v>
      </c>
      <c r="P20">
        <f>VLOOKUP($A20,'MF-226'!$A$2:$BV$53,P$1,FALSE)</f>
        <v>2143961</v>
      </c>
      <c r="Q20">
        <f>VLOOKUP($A20,'MF-226'!$A$2:$BV$53,Q$1,FALSE)</f>
        <v>2225856</v>
      </c>
      <c r="R20">
        <f>VLOOKUP($A20,'MF-226'!$A$2:$BV$53,R$1,FALSE)</f>
        <v>2141791</v>
      </c>
      <c r="S20">
        <f>VLOOKUP($A20,'MF-226'!$A$2:$BV$53,S$1,FALSE)</f>
        <v>2109807</v>
      </c>
      <c r="T20">
        <f>VLOOKUP($A20,'MF-226'!$A$2:$BV$53,T$1,FALSE)</f>
        <v>2161295</v>
      </c>
      <c r="U20">
        <f>VLOOKUP($A20,'MF-226'!$A$2:$BV$53,U$1,FALSE)</f>
        <v>2090807</v>
      </c>
      <c r="V20">
        <f>VLOOKUP($A20,'MF-226'!$A$2:$BV$53,V$1,FALSE)</f>
        <v>2162032</v>
      </c>
      <c r="W20">
        <f>VLOOKUP($A20,'MF-226'!$A$2:$BV$53,W$1,FALSE)</f>
        <v>2168790</v>
      </c>
      <c r="X20">
        <f>VLOOKUP($A20,'MF-226'!$A$2:$BV$53,X$1,FALSE)</f>
        <v>2114195</v>
      </c>
      <c r="Y20">
        <f>VLOOKUP($A20,'MF-226'!$A$2:$BV$53,Y$1,FALSE)</f>
        <v>2098219</v>
      </c>
      <c r="Z20">
        <f>VLOOKUP($A20,'MF-226'!$A$2:$BV$53,Z$1,FALSE)</f>
        <v>2074192</v>
      </c>
      <c r="AA20">
        <f>VLOOKUP($A20,'MF-226'!$A$2:$BV$53,AA$1,FALSE)</f>
        <v>2111377</v>
      </c>
      <c r="AB20">
        <f>VLOOKUP($A20,'MF-226'!$A$2:$BV$53,AB$1,FALSE)</f>
        <v>2067021</v>
      </c>
      <c r="AC20">
        <f>VLOOKUP($A20,'MF-226'!$A$2:$BV$53,AC$1,FALSE)</f>
        <v>2134147</v>
      </c>
      <c r="AD20">
        <f>VLOOKUP($A20,'MF-226'!$A$2:$BV$53,AD$1,FALSE)</f>
        <v>2125246</v>
      </c>
      <c r="AE20">
        <f>VLOOKUP($A20,'MF-226'!$A$2:$BV$53,AE$1,FALSE)</f>
        <v>2130436</v>
      </c>
      <c r="AF20">
        <f>VLOOKUP($A20,'MF-226'!$A$2:$BV$53,AF$1,FALSE)</f>
        <v>2146204</v>
      </c>
      <c r="AG20">
        <f>VLOOKUP($A20,'MF-226'!$A$2:$BV$53,AG$1,FALSE)</f>
        <v>1922559</v>
      </c>
      <c r="AH20">
        <f>VLOOKUP($A20,'MF-226'!$A$2:$BV$53,AH$1,FALSE)</f>
        <v>2074053</v>
      </c>
    </row>
    <row r="21" spans="1:34">
      <c r="A21" t="s">
        <v>18</v>
      </c>
      <c r="B21" t="str">
        <f>VLOOKUP(A21,'State Codes'!$C$10:$D$63,2,FALSE)</f>
        <v>LA</v>
      </c>
      <c r="C21">
        <f>VLOOKUP($A21,'MF-226'!$A$2:$BV$53,C$1,FALSE)</f>
        <v>1790914</v>
      </c>
      <c r="D21">
        <f>VLOOKUP($A21,'MF-226'!$A$2:$BV$53,D$1,FALSE)</f>
        <v>1719583</v>
      </c>
      <c r="E21">
        <f>VLOOKUP($A21,'MF-226'!$A$2:$BV$53,E$1,FALSE)</f>
        <v>1851277</v>
      </c>
      <c r="F21">
        <f>VLOOKUP($A21,'MF-226'!$A$2:$BV$53,F$1,FALSE)</f>
        <v>1904510</v>
      </c>
      <c r="G21">
        <f>VLOOKUP($A21,'MF-226'!$A$2:$BV$53,G$1,FALSE)</f>
        <v>1881685</v>
      </c>
      <c r="H21">
        <f>VLOOKUP($A21,'MF-226'!$A$2:$BV$53,H$1,FALSE)</f>
        <v>1924180</v>
      </c>
      <c r="I21">
        <f>VLOOKUP($A21,'MF-226'!$A$2:$BV$53,I$1,FALSE)</f>
        <v>2089414</v>
      </c>
      <c r="J21">
        <f>VLOOKUP($A21,'MF-226'!$A$2:$BV$53,J$1,FALSE)</f>
        <v>1918388</v>
      </c>
      <c r="K21">
        <f>VLOOKUP($A21,'MF-226'!$A$2:$BV$53,K$1,FALSE)</f>
        <v>2061110</v>
      </c>
      <c r="L21">
        <f>VLOOKUP($A21,'MF-226'!$A$2:$BV$53,L$1,FALSE)</f>
        <v>2062004</v>
      </c>
      <c r="M21">
        <f>VLOOKUP($A21,'MF-226'!$A$2:$BV$53,M$1,FALSE)</f>
        <v>2160512.7310000001</v>
      </c>
      <c r="N21">
        <f>VLOOKUP($A21,'MF-226'!$A$2:$BV$53,N$1,FALSE)</f>
        <v>2151437</v>
      </c>
      <c r="O21">
        <f>VLOOKUP($A21,'MF-226'!$A$2:$BV$53,O$1,FALSE)</f>
        <v>2218653</v>
      </c>
      <c r="P21">
        <f>VLOOKUP($A21,'MF-226'!$A$2:$BV$53,P$1,FALSE)</f>
        <v>2269312</v>
      </c>
      <c r="Q21">
        <f>VLOOKUP($A21,'MF-226'!$A$2:$BV$53,Q$1,FALSE)</f>
        <v>2200827</v>
      </c>
      <c r="R21">
        <f>VLOOKUP($A21,'MF-226'!$A$2:$BV$53,R$1,FALSE)</f>
        <v>2236901</v>
      </c>
      <c r="S21">
        <f>VLOOKUP($A21,'MF-226'!$A$2:$BV$53,S$1,FALSE)</f>
        <v>2526746</v>
      </c>
      <c r="T21">
        <f>VLOOKUP($A21,'MF-226'!$A$2:$BV$53,T$1,FALSE)</f>
        <v>2164678</v>
      </c>
      <c r="U21">
        <f>VLOOKUP($A21,'MF-226'!$A$2:$BV$53,U$1,FALSE)</f>
        <v>2094762</v>
      </c>
      <c r="V21">
        <f>VLOOKUP($A21,'MF-226'!$A$2:$BV$53,V$1,FALSE)</f>
        <v>2226788</v>
      </c>
      <c r="W21">
        <f>VLOOKUP($A21,'MF-226'!$A$2:$BV$53,W$1,FALSE)</f>
        <v>2216089</v>
      </c>
      <c r="X21">
        <f>VLOOKUP($A21,'MF-226'!$A$2:$BV$53,X$1,FALSE)</f>
        <v>2219551</v>
      </c>
      <c r="Y21">
        <f>VLOOKUP($A21,'MF-226'!$A$2:$BV$53,Y$1,FALSE)</f>
        <v>2149410</v>
      </c>
      <c r="Z21">
        <f>VLOOKUP($A21,'MF-226'!$A$2:$BV$53,Z$1,FALSE)</f>
        <v>2191565</v>
      </c>
      <c r="AA21">
        <f>VLOOKUP($A21,'MF-226'!$A$2:$BV$53,AA$1,FALSE)</f>
        <v>2244508</v>
      </c>
      <c r="AB21">
        <f>VLOOKUP($A21,'MF-226'!$A$2:$BV$53,AB$1,FALSE)</f>
        <v>2179194</v>
      </c>
      <c r="AC21">
        <f>VLOOKUP($A21,'MF-226'!$A$2:$BV$53,AC$1,FALSE)</f>
        <v>2128383</v>
      </c>
      <c r="AD21">
        <f>VLOOKUP($A21,'MF-226'!$A$2:$BV$53,AD$1,FALSE)</f>
        <v>2046902</v>
      </c>
      <c r="AE21">
        <f>VLOOKUP($A21,'MF-226'!$A$2:$BV$53,AE$1,FALSE)</f>
        <v>2037250</v>
      </c>
      <c r="AF21">
        <f>VLOOKUP($A21,'MF-226'!$A$2:$BV$53,AF$1,FALSE)</f>
        <v>2089133</v>
      </c>
      <c r="AG21">
        <f>VLOOKUP($A21,'MF-226'!$A$2:$BV$53,AG$1,FALSE)</f>
        <v>1827355</v>
      </c>
      <c r="AH21">
        <f>VLOOKUP($A21,'MF-226'!$A$2:$BV$53,AH$1,FALSE)</f>
        <v>2048296</v>
      </c>
    </row>
    <row r="22" spans="1:34">
      <c r="A22" t="s">
        <v>19</v>
      </c>
      <c r="B22" t="str">
        <f>VLOOKUP(A22,'State Codes'!$C$10:$D$63,2,FALSE)</f>
        <v>ME</v>
      </c>
      <c r="C22">
        <f>VLOOKUP($A22,'MF-226'!$A$2:$BV$53,C$1,FALSE)</f>
        <v>577864</v>
      </c>
      <c r="D22">
        <f>VLOOKUP($A22,'MF-226'!$A$2:$BV$53,D$1,FALSE)</f>
        <v>574024</v>
      </c>
      <c r="E22">
        <f>VLOOKUP($A22,'MF-226'!$A$2:$BV$53,E$1,FALSE)</f>
        <v>585045</v>
      </c>
      <c r="F22">
        <f>VLOOKUP($A22,'MF-226'!$A$2:$BV$53,F$1,FALSE)</f>
        <v>599454</v>
      </c>
      <c r="G22">
        <f>VLOOKUP($A22,'MF-226'!$A$2:$BV$53,G$1,FALSE)</f>
        <v>604773</v>
      </c>
      <c r="H22">
        <f>VLOOKUP($A22,'MF-226'!$A$2:$BV$53,H$1,FALSE)</f>
        <v>590935</v>
      </c>
      <c r="I22">
        <f>VLOOKUP($A22,'MF-226'!$A$2:$BV$53,I$1,FALSE)</f>
        <v>619194</v>
      </c>
      <c r="J22">
        <f>VLOOKUP($A22,'MF-226'!$A$2:$BV$53,J$1,FALSE)</f>
        <v>662260</v>
      </c>
      <c r="K22">
        <f>VLOOKUP($A22,'MF-226'!$A$2:$BV$53,K$1,FALSE)</f>
        <v>636021</v>
      </c>
      <c r="L22">
        <f>VLOOKUP($A22,'MF-226'!$A$2:$BV$53,L$1,FALSE)</f>
        <v>678530</v>
      </c>
      <c r="M22">
        <f>VLOOKUP($A22,'MF-226'!$A$2:$BV$53,M$1,FALSE)</f>
        <v>681120.929</v>
      </c>
      <c r="N22">
        <f>VLOOKUP($A22,'MF-226'!$A$2:$BV$53,N$1,FALSE)</f>
        <v>590093</v>
      </c>
      <c r="O22">
        <f>VLOOKUP($A22,'MF-226'!$A$2:$BV$53,O$1,FALSE)</f>
        <v>699017</v>
      </c>
      <c r="P22">
        <f>VLOOKUP($A22,'MF-226'!$A$2:$BV$53,P$1,FALSE)</f>
        <v>760776</v>
      </c>
      <c r="Q22">
        <f>VLOOKUP($A22,'MF-226'!$A$2:$BV$53,Q$1,FALSE)</f>
        <v>701165</v>
      </c>
      <c r="R22">
        <f>VLOOKUP($A22,'MF-226'!$A$2:$BV$53,R$1,FALSE)</f>
        <v>706051</v>
      </c>
      <c r="S22">
        <f>VLOOKUP($A22,'MF-226'!$A$2:$BV$53,S$1,FALSE)</f>
        <v>682564</v>
      </c>
      <c r="T22">
        <f>VLOOKUP($A22,'MF-226'!$A$2:$BV$53,T$1,FALSE)</f>
        <v>670761</v>
      </c>
      <c r="U22">
        <f>VLOOKUP($A22,'MF-226'!$A$2:$BV$53,U$1,FALSE)</f>
        <v>637206</v>
      </c>
      <c r="V22">
        <f>VLOOKUP($A22,'MF-226'!$A$2:$BV$53,V$1,FALSE)</f>
        <v>646536</v>
      </c>
      <c r="W22">
        <f>VLOOKUP($A22,'MF-226'!$A$2:$BV$53,W$1,FALSE)</f>
        <v>654826</v>
      </c>
      <c r="X22">
        <f>VLOOKUP($A22,'MF-226'!$A$2:$BV$53,X$1,FALSE)</f>
        <v>654010</v>
      </c>
      <c r="Y22">
        <f>VLOOKUP($A22,'MF-226'!$A$2:$BV$53,Y$1,FALSE)</f>
        <v>632819</v>
      </c>
      <c r="Z22">
        <f>VLOOKUP($A22,'MF-226'!$A$2:$BV$53,Z$1,FALSE)</f>
        <v>715904</v>
      </c>
      <c r="AA22">
        <f>VLOOKUP($A22,'MF-226'!$A$2:$BV$53,AA$1,FALSE)</f>
        <v>771730</v>
      </c>
      <c r="AB22">
        <f>VLOOKUP($A22,'MF-226'!$A$2:$BV$53,AB$1,FALSE)</f>
        <v>721666</v>
      </c>
      <c r="AC22">
        <f>VLOOKUP($A22,'MF-226'!$A$2:$BV$53,AC$1,FALSE)</f>
        <v>742407</v>
      </c>
      <c r="AD22">
        <f>VLOOKUP($A22,'MF-226'!$A$2:$BV$53,AD$1,FALSE)</f>
        <v>597724</v>
      </c>
      <c r="AE22">
        <f>VLOOKUP($A22,'MF-226'!$A$2:$BV$53,AE$1,FALSE)</f>
        <v>593253</v>
      </c>
      <c r="AF22">
        <f>VLOOKUP($A22,'MF-226'!$A$2:$BV$53,AF$1,FALSE)</f>
        <v>593253</v>
      </c>
      <c r="AG22">
        <f>VLOOKUP($A22,'MF-226'!$A$2:$BV$53,AG$1,FALSE)</f>
        <v>535245</v>
      </c>
      <c r="AH22">
        <f>VLOOKUP($A22,'MF-226'!$A$2:$BV$53,AH$1,FALSE)</f>
        <v>599699</v>
      </c>
    </row>
    <row r="23" spans="1:34">
      <c r="A23" t="s">
        <v>20</v>
      </c>
      <c r="B23" t="str">
        <f>VLOOKUP(A23,'State Codes'!$C$10:$D$63,2,FALSE)</f>
        <v>MD</v>
      </c>
      <c r="C23">
        <f>VLOOKUP($A23,'MF-226'!$A$2:$BV$53,C$1,FALSE)</f>
        <v>1965028</v>
      </c>
      <c r="D23">
        <f>VLOOKUP($A23,'MF-226'!$A$2:$BV$53,D$1,FALSE)</f>
        <v>1987938</v>
      </c>
      <c r="E23">
        <f>VLOOKUP($A23,'MF-226'!$A$2:$BV$53,E$1,FALSE)</f>
        <v>2047839</v>
      </c>
      <c r="F23">
        <f>VLOOKUP($A23,'MF-226'!$A$2:$BV$53,F$1,FALSE)</f>
        <v>2081787</v>
      </c>
      <c r="G23">
        <f>VLOOKUP($A23,'MF-226'!$A$2:$BV$53,G$1,FALSE)</f>
        <v>2131215</v>
      </c>
      <c r="H23">
        <f>VLOOKUP($A23,'MF-226'!$A$2:$BV$53,H$1,FALSE)</f>
        <v>2135881</v>
      </c>
      <c r="I23">
        <f>VLOOKUP($A23,'MF-226'!$A$2:$BV$53,I$1,FALSE)</f>
        <v>2160380</v>
      </c>
      <c r="J23">
        <f>VLOOKUP($A23,'MF-226'!$A$2:$BV$53,J$1,FALSE)</f>
        <v>2235236</v>
      </c>
      <c r="K23">
        <f>VLOOKUP($A23,'MF-226'!$A$2:$BV$53,K$1,FALSE)</f>
        <v>2279763</v>
      </c>
      <c r="L23">
        <f>VLOOKUP($A23,'MF-226'!$A$2:$BV$53,L$1,FALSE)</f>
        <v>2396097</v>
      </c>
      <c r="M23">
        <f>VLOOKUP($A23,'MF-226'!$A$2:$BV$53,M$1,FALSE)</f>
        <v>2388291.96</v>
      </c>
      <c r="N23">
        <f>VLOOKUP($A23,'MF-226'!$A$2:$BV$53,N$1,FALSE)</f>
        <v>2460545</v>
      </c>
      <c r="O23">
        <f>VLOOKUP($A23,'MF-226'!$A$2:$BV$53,O$1,FALSE)</f>
        <v>2504827</v>
      </c>
      <c r="P23">
        <f>VLOOKUP($A23,'MF-226'!$A$2:$BV$53,P$1,FALSE)</f>
        <v>2574037</v>
      </c>
      <c r="Q23">
        <f>VLOOKUP($A23,'MF-226'!$A$2:$BV$53,Q$1,FALSE)</f>
        <v>2624148</v>
      </c>
      <c r="R23">
        <f>VLOOKUP($A23,'MF-226'!$A$2:$BV$53,R$1,FALSE)</f>
        <v>2630530</v>
      </c>
      <c r="S23">
        <f>VLOOKUP($A23,'MF-226'!$A$2:$BV$53,S$1,FALSE)</f>
        <v>2642371</v>
      </c>
      <c r="T23">
        <f>VLOOKUP($A23,'MF-226'!$A$2:$BV$53,T$1,FALSE)</f>
        <v>2658984</v>
      </c>
      <c r="U23">
        <f>VLOOKUP($A23,'MF-226'!$A$2:$BV$53,U$1,FALSE)</f>
        <v>2627293</v>
      </c>
      <c r="V23">
        <f>VLOOKUP($A23,'MF-226'!$A$2:$BV$53,V$1,FALSE)</f>
        <v>2813359</v>
      </c>
      <c r="W23">
        <f>VLOOKUP($A23,'MF-226'!$A$2:$BV$53,W$1,FALSE)</f>
        <v>2621571</v>
      </c>
      <c r="X23">
        <f>VLOOKUP($A23,'MF-226'!$A$2:$BV$53,X$1,FALSE)</f>
        <v>2602742</v>
      </c>
      <c r="Y23">
        <f>VLOOKUP($A23,'MF-226'!$A$2:$BV$53,Y$1,FALSE)</f>
        <v>2657326</v>
      </c>
      <c r="Z23">
        <f>VLOOKUP($A23,'MF-226'!$A$2:$BV$53,Z$1,FALSE)</f>
        <v>2744629</v>
      </c>
      <c r="AA23">
        <f>VLOOKUP($A23,'MF-226'!$A$2:$BV$53,AA$1,FALSE)</f>
        <v>2715452</v>
      </c>
      <c r="AB23">
        <f>VLOOKUP($A23,'MF-226'!$A$2:$BV$53,AB$1,FALSE)</f>
        <v>2711766</v>
      </c>
      <c r="AC23">
        <f>VLOOKUP($A23,'MF-226'!$A$2:$BV$53,AC$1,FALSE)</f>
        <v>2630070</v>
      </c>
      <c r="AD23">
        <f>VLOOKUP($A23,'MF-226'!$A$2:$BV$53,AD$1,FALSE)</f>
        <v>2599399</v>
      </c>
      <c r="AE23">
        <f>VLOOKUP($A23,'MF-226'!$A$2:$BV$53,AE$1,FALSE)</f>
        <v>2587123</v>
      </c>
      <c r="AF23">
        <f>VLOOKUP($A23,'MF-226'!$A$2:$BV$53,AF$1,FALSE)</f>
        <v>2602302</v>
      </c>
      <c r="AG23">
        <f>VLOOKUP($A23,'MF-226'!$A$2:$BV$53,AG$1,FALSE)</f>
        <v>2054135</v>
      </c>
      <c r="AH23">
        <f>VLOOKUP($A23,'MF-226'!$A$2:$BV$53,AH$1,FALSE)</f>
        <v>2364826</v>
      </c>
    </row>
    <row r="24" spans="1:34">
      <c r="A24" t="s">
        <v>84</v>
      </c>
      <c r="B24" t="str">
        <f>VLOOKUP(A24,'State Codes'!$C$10:$D$63,2,FALSE)</f>
        <v>MA</v>
      </c>
      <c r="C24">
        <f>VLOOKUP($A24,'MF-226'!$A$2:$BV$53,C$1,FALSE)</f>
        <v>2338682</v>
      </c>
      <c r="D24">
        <f>VLOOKUP($A24,'MF-226'!$A$2:$BV$53,D$1,FALSE)</f>
        <v>2255600</v>
      </c>
      <c r="E24">
        <f>VLOOKUP($A24,'MF-226'!$A$2:$BV$53,E$1,FALSE)</f>
        <v>2337839</v>
      </c>
      <c r="F24">
        <f>VLOOKUP($A24,'MF-226'!$A$2:$BV$53,F$1,FALSE)</f>
        <v>2359325</v>
      </c>
      <c r="G24">
        <f>VLOOKUP($A24,'MF-226'!$A$2:$BV$53,G$1,FALSE)</f>
        <v>2389647</v>
      </c>
      <c r="H24">
        <f>VLOOKUP($A24,'MF-226'!$A$2:$BV$53,H$1,FALSE)</f>
        <v>2440893</v>
      </c>
      <c r="I24">
        <f>VLOOKUP($A24,'MF-226'!$A$2:$BV$53,I$1,FALSE)</f>
        <v>2497197</v>
      </c>
      <c r="J24">
        <f>VLOOKUP($A24,'MF-226'!$A$2:$BV$53,J$1,FALSE)</f>
        <v>2544658</v>
      </c>
      <c r="K24">
        <f>VLOOKUP($A24,'MF-226'!$A$2:$BV$53,K$1,FALSE)</f>
        <v>2603659</v>
      </c>
      <c r="L24">
        <f>VLOOKUP($A24,'MF-226'!$A$2:$BV$53,L$1,FALSE)</f>
        <v>2671177</v>
      </c>
      <c r="M24">
        <f>VLOOKUP($A24,'MF-226'!$A$2:$BV$53,M$1,FALSE)</f>
        <v>2713912.9709999999</v>
      </c>
      <c r="N24">
        <f>VLOOKUP($A24,'MF-226'!$A$2:$BV$53,N$1,FALSE)</f>
        <v>2720510</v>
      </c>
      <c r="O24">
        <f>VLOOKUP($A24,'MF-226'!$A$2:$BV$53,O$1,FALSE)</f>
        <v>2785618</v>
      </c>
      <c r="P24">
        <f>VLOOKUP($A24,'MF-226'!$A$2:$BV$53,P$1,FALSE)</f>
        <v>2791807</v>
      </c>
      <c r="Q24">
        <f>VLOOKUP($A24,'MF-226'!$A$2:$BV$53,Q$1,FALSE)</f>
        <v>2824694</v>
      </c>
      <c r="R24">
        <f>VLOOKUP($A24,'MF-226'!$A$2:$BV$53,R$1,FALSE)</f>
        <v>2782254</v>
      </c>
      <c r="S24">
        <f>VLOOKUP($A24,'MF-226'!$A$2:$BV$53,S$1,FALSE)</f>
        <v>2763761</v>
      </c>
      <c r="T24">
        <f>VLOOKUP($A24,'MF-226'!$A$2:$BV$53,T$1,FALSE)</f>
        <v>2854058</v>
      </c>
      <c r="U24">
        <f>VLOOKUP($A24,'MF-226'!$A$2:$BV$53,U$1,FALSE)</f>
        <v>2758187</v>
      </c>
      <c r="V24">
        <f>VLOOKUP($A24,'MF-226'!$A$2:$BV$53,V$1,FALSE)</f>
        <v>2711893</v>
      </c>
      <c r="W24">
        <f>VLOOKUP($A24,'MF-226'!$A$2:$BV$53,W$1,FALSE)</f>
        <v>2733501</v>
      </c>
      <c r="X24">
        <f>VLOOKUP($A24,'MF-226'!$A$2:$BV$53,X$1,FALSE)</f>
        <v>2725178</v>
      </c>
      <c r="Y24">
        <f>VLOOKUP($A24,'MF-226'!$A$2:$BV$53,Y$1,FALSE)</f>
        <v>2726824</v>
      </c>
      <c r="Z24">
        <f>VLOOKUP($A24,'MF-226'!$A$2:$BV$53,Z$1,FALSE)</f>
        <v>2682202</v>
      </c>
      <c r="AA24">
        <f>VLOOKUP($A24,'MF-226'!$A$2:$BV$53,AA$1,FALSE)</f>
        <v>2707913</v>
      </c>
      <c r="AB24">
        <f>VLOOKUP($A24,'MF-226'!$A$2:$BV$53,AB$1,FALSE)</f>
        <v>2669169</v>
      </c>
      <c r="AC24">
        <f>VLOOKUP($A24,'MF-226'!$A$2:$BV$53,AC$1,FALSE)</f>
        <v>2715141</v>
      </c>
      <c r="AD24">
        <f>VLOOKUP($A24,'MF-226'!$A$2:$BV$53,AD$1,FALSE)</f>
        <v>2666514</v>
      </c>
      <c r="AE24">
        <f>VLOOKUP($A24,'MF-226'!$A$2:$BV$53,AE$1,FALSE)</f>
        <v>2685219</v>
      </c>
      <c r="AF24">
        <f>VLOOKUP($A24,'MF-226'!$A$2:$BV$53,AF$1,FALSE)</f>
        <v>2658600</v>
      </c>
      <c r="AG24">
        <f>VLOOKUP($A24,'MF-226'!$A$2:$BV$53,AG$1,FALSE)</f>
        <v>2109170</v>
      </c>
      <c r="AH24">
        <f>VLOOKUP($A24,'MF-226'!$A$2:$BV$53,AH$1,FALSE)</f>
        <v>2378583</v>
      </c>
    </row>
    <row r="25" spans="1:34">
      <c r="A25" t="s">
        <v>21</v>
      </c>
      <c r="B25" t="str">
        <f>VLOOKUP(A25,'State Codes'!$C$10:$D$63,2,FALSE)</f>
        <v>MI</v>
      </c>
      <c r="C25">
        <f>VLOOKUP($A25,'MF-226'!$A$2:$BV$53,C$1,FALSE)</f>
        <v>4144034</v>
      </c>
      <c r="D25">
        <f>VLOOKUP($A25,'MF-226'!$A$2:$BV$53,D$1,FALSE)</f>
        <v>4165798</v>
      </c>
      <c r="E25">
        <f>VLOOKUP($A25,'MF-226'!$A$2:$BV$53,E$1,FALSE)</f>
        <v>4233698</v>
      </c>
      <c r="F25">
        <f>VLOOKUP($A25,'MF-226'!$A$2:$BV$53,F$1,FALSE)</f>
        <v>4377870</v>
      </c>
      <c r="G25">
        <f>VLOOKUP($A25,'MF-226'!$A$2:$BV$53,G$1,FALSE)</f>
        <v>4382988</v>
      </c>
      <c r="H25">
        <f>VLOOKUP($A25,'MF-226'!$A$2:$BV$53,H$1,FALSE)</f>
        <v>4545737</v>
      </c>
      <c r="I25">
        <f>VLOOKUP($A25,'MF-226'!$A$2:$BV$53,I$1,FALSE)</f>
        <v>4565162</v>
      </c>
      <c r="J25">
        <f>VLOOKUP($A25,'MF-226'!$A$2:$BV$53,J$1,FALSE)</f>
        <v>4653028</v>
      </c>
      <c r="K25">
        <f>VLOOKUP($A25,'MF-226'!$A$2:$BV$53,K$1,FALSE)</f>
        <v>4811212</v>
      </c>
      <c r="L25">
        <f>VLOOKUP($A25,'MF-226'!$A$2:$BV$53,L$1,FALSE)</f>
        <v>5056773</v>
      </c>
      <c r="M25">
        <f>VLOOKUP($A25,'MF-226'!$A$2:$BV$53,M$1,FALSE)</f>
        <v>4905203.6390000004</v>
      </c>
      <c r="N25">
        <f>VLOOKUP($A25,'MF-226'!$A$2:$BV$53,N$1,FALSE)</f>
        <v>4904689</v>
      </c>
      <c r="O25">
        <f>VLOOKUP($A25,'MF-226'!$A$2:$BV$53,O$1,FALSE)</f>
        <v>4997313</v>
      </c>
      <c r="P25">
        <f>VLOOKUP($A25,'MF-226'!$A$2:$BV$53,P$1,FALSE)</f>
        <v>4901953</v>
      </c>
      <c r="Q25">
        <f>VLOOKUP($A25,'MF-226'!$A$2:$BV$53,Q$1,FALSE)</f>
        <v>4858390</v>
      </c>
      <c r="R25">
        <f>VLOOKUP($A25,'MF-226'!$A$2:$BV$53,R$1,FALSE)</f>
        <v>4814731</v>
      </c>
      <c r="S25">
        <f>VLOOKUP($A25,'MF-226'!$A$2:$BV$53,S$1,FALSE)</f>
        <v>4698481</v>
      </c>
      <c r="T25">
        <f>VLOOKUP($A25,'MF-226'!$A$2:$BV$53,T$1,FALSE)</f>
        <v>4607576</v>
      </c>
      <c r="U25">
        <f>VLOOKUP($A25,'MF-226'!$A$2:$BV$53,U$1,FALSE)</f>
        <v>4453565</v>
      </c>
      <c r="V25">
        <f>VLOOKUP($A25,'MF-226'!$A$2:$BV$53,V$1,FALSE)</f>
        <v>4437325</v>
      </c>
      <c r="W25">
        <f>VLOOKUP($A25,'MF-226'!$A$2:$BV$53,W$1,FALSE)</f>
        <v>4426295</v>
      </c>
      <c r="X25">
        <f>VLOOKUP($A25,'MF-226'!$A$2:$BV$53,X$1,FALSE)</f>
        <v>4358852</v>
      </c>
      <c r="Y25">
        <f>VLOOKUP($A25,'MF-226'!$A$2:$BV$53,Y$1,FALSE)</f>
        <v>4350116</v>
      </c>
      <c r="Z25">
        <f>VLOOKUP($A25,'MF-226'!$A$2:$BV$53,Z$1,FALSE)</f>
        <v>4455916</v>
      </c>
      <c r="AA25">
        <f>VLOOKUP($A25,'MF-226'!$A$2:$BV$53,AA$1,FALSE)</f>
        <v>4448249</v>
      </c>
      <c r="AB25">
        <f>VLOOKUP($A25,'MF-226'!$A$2:$BV$53,AB$1,FALSE)</f>
        <v>4352982</v>
      </c>
      <c r="AC25">
        <f>VLOOKUP($A25,'MF-226'!$A$2:$BV$53,AC$1,FALSE)</f>
        <v>4449726</v>
      </c>
      <c r="AD25">
        <f>VLOOKUP($A25,'MF-226'!$A$2:$BV$53,AD$1,FALSE)</f>
        <v>4396083</v>
      </c>
      <c r="AE25">
        <f>VLOOKUP($A25,'MF-226'!$A$2:$BV$53,AE$1,FALSE)</f>
        <v>4412120</v>
      </c>
      <c r="AF25">
        <f>VLOOKUP($A25,'MF-226'!$A$2:$BV$53,AF$1,FALSE)</f>
        <v>4381530</v>
      </c>
      <c r="AG25">
        <f>VLOOKUP($A25,'MF-226'!$A$2:$BV$53,AG$1,FALSE)</f>
        <v>3705704</v>
      </c>
      <c r="AH25">
        <f>VLOOKUP($A25,'MF-226'!$A$2:$BV$53,AH$1,FALSE)</f>
        <v>4057935</v>
      </c>
    </row>
    <row r="26" spans="1:34">
      <c r="A26" t="s">
        <v>22</v>
      </c>
      <c r="B26" t="str">
        <f>VLOOKUP(A26,'State Codes'!$C$10:$D$63,2,FALSE)</f>
        <v>MN</v>
      </c>
      <c r="C26">
        <f>VLOOKUP($A26,'MF-226'!$A$2:$BV$53,C$1,FALSE)</f>
        <v>1872567</v>
      </c>
      <c r="D26">
        <f>VLOOKUP($A26,'MF-226'!$A$2:$BV$53,D$1,FALSE)</f>
        <v>1921780</v>
      </c>
      <c r="E26">
        <f>VLOOKUP($A26,'MF-226'!$A$2:$BV$53,E$1,FALSE)</f>
        <v>2011658</v>
      </c>
      <c r="F26">
        <f>VLOOKUP($A26,'MF-226'!$A$2:$BV$53,F$1,FALSE)</f>
        <v>2102346</v>
      </c>
      <c r="G26">
        <f>VLOOKUP($A26,'MF-226'!$A$2:$BV$53,G$1,FALSE)</f>
        <v>2154389</v>
      </c>
      <c r="H26">
        <f>VLOOKUP($A26,'MF-226'!$A$2:$BV$53,H$1,FALSE)</f>
        <v>2201483</v>
      </c>
      <c r="I26">
        <f>VLOOKUP($A26,'MF-226'!$A$2:$BV$53,I$1,FALSE)</f>
        <v>2260715</v>
      </c>
      <c r="J26">
        <f>VLOOKUP($A26,'MF-226'!$A$2:$BV$53,J$1,FALSE)</f>
        <v>2208563</v>
      </c>
      <c r="K26">
        <f>VLOOKUP($A26,'MF-226'!$A$2:$BV$53,K$1,FALSE)</f>
        <v>2333638</v>
      </c>
      <c r="L26">
        <f>VLOOKUP($A26,'MF-226'!$A$2:$BV$53,L$1,FALSE)</f>
        <v>2473838</v>
      </c>
      <c r="M26">
        <f>VLOOKUP($A26,'MF-226'!$A$2:$BV$53,M$1,FALSE)</f>
        <v>2515069.2200000002</v>
      </c>
      <c r="N26">
        <f>VLOOKUP($A26,'MF-226'!$A$2:$BV$53,N$1,FALSE)</f>
        <v>2545530</v>
      </c>
      <c r="O26">
        <f>VLOOKUP($A26,'MF-226'!$A$2:$BV$53,O$1,FALSE)</f>
        <v>2587209</v>
      </c>
      <c r="P26">
        <f>VLOOKUP($A26,'MF-226'!$A$2:$BV$53,P$1,FALSE)</f>
        <v>2616219</v>
      </c>
      <c r="Q26">
        <f>VLOOKUP($A26,'MF-226'!$A$2:$BV$53,Q$1,FALSE)</f>
        <v>2644097</v>
      </c>
      <c r="R26">
        <f>VLOOKUP($A26,'MF-226'!$A$2:$BV$53,R$1,FALSE)</f>
        <v>2596846</v>
      </c>
      <c r="S26">
        <f>VLOOKUP($A26,'MF-226'!$A$2:$BV$53,S$1,FALSE)</f>
        <v>2504236</v>
      </c>
      <c r="T26">
        <f>VLOOKUP($A26,'MF-226'!$A$2:$BV$53,T$1,FALSE)</f>
        <v>2516616</v>
      </c>
      <c r="U26">
        <f>VLOOKUP($A26,'MF-226'!$A$2:$BV$53,U$1,FALSE)</f>
        <v>2505583</v>
      </c>
      <c r="V26">
        <f>VLOOKUP($A26,'MF-226'!$A$2:$BV$53,V$1,FALSE)</f>
        <v>2434507</v>
      </c>
      <c r="W26">
        <f>VLOOKUP($A26,'MF-226'!$A$2:$BV$53,W$1,FALSE)</f>
        <v>2452821</v>
      </c>
      <c r="X26">
        <f>VLOOKUP($A26,'MF-226'!$A$2:$BV$53,X$1,FALSE)</f>
        <v>2360340</v>
      </c>
      <c r="Y26">
        <f>VLOOKUP($A26,'MF-226'!$A$2:$BV$53,Y$1,FALSE)</f>
        <v>2429561</v>
      </c>
      <c r="Z26">
        <f>VLOOKUP($A26,'MF-226'!$A$2:$BV$53,Z$1,FALSE)</f>
        <v>2389435</v>
      </c>
      <c r="AA26">
        <f>VLOOKUP($A26,'MF-226'!$A$2:$BV$53,AA$1,FALSE)</f>
        <v>2481959</v>
      </c>
      <c r="AB26">
        <f>VLOOKUP($A26,'MF-226'!$A$2:$BV$53,AB$1,FALSE)</f>
        <v>2323199</v>
      </c>
      <c r="AC26">
        <f>VLOOKUP($A26,'MF-226'!$A$2:$BV$53,AC$1,FALSE)</f>
        <v>2456967</v>
      </c>
      <c r="AD26">
        <f>VLOOKUP($A26,'MF-226'!$A$2:$BV$53,AD$1,FALSE)</f>
        <v>2459991</v>
      </c>
      <c r="AE26">
        <f>VLOOKUP($A26,'MF-226'!$A$2:$BV$53,AE$1,FALSE)</f>
        <v>2401845</v>
      </c>
      <c r="AF26">
        <f>VLOOKUP($A26,'MF-226'!$A$2:$BV$53,AF$1,FALSE)</f>
        <v>2411151</v>
      </c>
      <c r="AG26">
        <f>VLOOKUP($A26,'MF-226'!$A$2:$BV$53,AG$1,FALSE)</f>
        <v>2069451</v>
      </c>
      <c r="AH26">
        <f>VLOOKUP($A26,'MF-226'!$A$2:$BV$53,AH$1,FALSE)</f>
        <v>2195047</v>
      </c>
    </row>
    <row r="27" spans="1:34">
      <c r="A27" t="s">
        <v>23</v>
      </c>
      <c r="B27" t="str">
        <f>VLOOKUP(A27,'State Codes'!$C$10:$D$63,2,FALSE)</f>
        <v>MS</v>
      </c>
      <c r="C27">
        <f>VLOOKUP($A27,'MF-226'!$A$2:$BV$53,C$1,FALSE)</f>
        <v>1196522</v>
      </c>
      <c r="D27">
        <f>VLOOKUP($A27,'MF-226'!$A$2:$BV$53,D$1,FALSE)</f>
        <v>1212459</v>
      </c>
      <c r="E27">
        <f>VLOOKUP($A27,'MF-226'!$A$2:$BV$53,E$1,FALSE)</f>
        <v>1259490</v>
      </c>
      <c r="F27">
        <f>VLOOKUP($A27,'MF-226'!$A$2:$BV$53,F$1,FALSE)</f>
        <v>1326952</v>
      </c>
      <c r="G27">
        <f>VLOOKUP($A27,'MF-226'!$A$2:$BV$53,G$1,FALSE)</f>
        <v>1363948</v>
      </c>
      <c r="H27">
        <f>VLOOKUP($A27,'MF-226'!$A$2:$BV$53,H$1,FALSE)</f>
        <v>1395512</v>
      </c>
      <c r="I27">
        <f>VLOOKUP($A27,'MF-226'!$A$2:$BV$53,I$1,FALSE)</f>
        <v>1408108</v>
      </c>
      <c r="J27">
        <f>VLOOKUP($A27,'MF-226'!$A$2:$BV$53,J$1,FALSE)</f>
        <v>1457026</v>
      </c>
      <c r="K27">
        <f>VLOOKUP($A27,'MF-226'!$A$2:$BV$53,K$1,FALSE)</f>
        <v>1517140</v>
      </c>
      <c r="L27">
        <f>VLOOKUP($A27,'MF-226'!$A$2:$BV$53,L$1,FALSE)</f>
        <v>1583622</v>
      </c>
      <c r="M27">
        <f>VLOOKUP($A27,'MF-226'!$A$2:$BV$53,M$1,FALSE)</f>
        <v>1520581.1510000003</v>
      </c>
      <c r="N27">
        <f>VLOOKUP($A27,'MF-226'!$A$2:$BV$53,N$1,FALSE)</f>
        <v>1476477</v>
      </c>
      <c r="O27">
        <f>VLOOKUP($A27,'MF-226'!$A$2:$BV$53,O$1,FALSE)</f>
        <v>1536524</v>
      </c>
      <c r="P27">
        <f>VLOOKUP($A27,'MF-226'!$A$2:$BV$53,P$1,FALSE)</f>
        <v>1576334</v>
      </c>
      <c r="Q27">
        <f>VLOOKUP($A27,'MF-226'!$A$2:$BV$53,Q$1,FALSE)</f>
        <v>1579362</v>
      </c>
      <c r="R27">
        <f>VLOOKUP($A27,'MF-226'!$A$2:$BV$53,R$1,FALSE)</f>
        <v>1576357</v>
      </c>
      <c r="S27">
        <f>VLOOKUP($A27,'MF-226'!$A$2:$BV$53,S$1,FALSE)</f>
        <v>1573695</v>
      </c>
      <c r="T27">
        <f>VLOOKUP($A27,'MF-226'!$A$2:$BV$53,T$1,FALSE)</f>
        <v>1623676</v>
      </c>
      <c r="U27">
        <f>VLOOKUP($A27,'MF-226'!$A$2:$BV$53,U$1,FALSE)</f>
        <v>1606971</v>
      </c>
      <c r="V27">
        <f>VLOOKUP($A27,'MF-226'!$A$2:$BV$53,V$1,FALSE)</f>
        <v>1538743</v>
      </c>
      <c r="W27">
        <f>VLOOKUP($A27,'MF-226'!$A$2:$BV$53,W$1,FALSE)</f>
        <v>1607584</v>
      </c>
      <c r="X27">
        <f>VLOOKUP($A27,'MF-226'!$A$2:$BV$53,X$1,FALSE)</f>
        <v>1554825</v>
      </c>
      <c r="Y27">
        <f>VLOOKUP($A27,'MF-226'!$A$2:$BV$53,Y$1,FALSE)</f>
        <v>1598659</v>
      </c>
      <c r="Z27">
        <f>VLOOKUP($A27,'MF-226'!$A$2:$BV$53,Z$1,FALSE)</f>
        <v>1564996</v>
      </c>
      <c r="AA27">
        <f>VLOOKUP($A27,'MF-226'!$A$2:$BV$53,AA$1,FALSE)</f>
        <v>1686715</v>
      </c>
      <c r="AB27">
        <f>VLOOKUP($A27,'MF-226'!$A$2:$BV$53,AB$1,FALSE)</f>
        <v>1607148</v>
      </c>
      <c r="AC27">
        <f>VLOOKUP($A27,'MF-226'!$A$2:$BV$53,AC$1,FALSE)</f>
        <v>1681282</v>
      </c>
      <c r="AD27">
        <f>VLOOKUP($A27,'MF-226'!$A$2:$BV$53,AD$1,FALSE)</f>
        <v>1641711</v>
      </c>
      <c r="AE27">
        <f>VLOOKUP($A27,'MF-226'!$A$2:$BV$53,AE$1,FALSE)</f>
        <v>1595322</v>
      </c>
      <c r="AF27">
        <f>VLOOKUP($A27,'MF-226'!$A$2:$BV$53,AF$1,FALSE)</f>
        <v>1668608</v>
      </c>
      <c r="AG27">
        <f>VLOOKUP($A27,'MF-226'!$A$2:$BV$53,AG$1,FALSE)</f>
        <v>1563457</v>
      </c>
      <c r="AH27">
        <f>VLOOKUP($A27,'MF-226'!$A$2:$BV$53,AH$1,FALSE)</f>
        <v>1658342</v>
      </c>
    </row>
    <row r="28" spans="1:34">
      <c r="A28" t="s">
        <v>24</v>
      </c>
      <c r="B28" t="str">
        <f>VLOOKUP(A28,'State Codes'!$C$10:$D$63,2,FALSE)</f>
        <v>MO</v>
      </c>
      <c r="C28">
        <f>VLOOKUP($A28,'MF-226'!$A$2:$BV$53,C$1,FALSE)</f>
        <v>2684647</v>
      </c>
      <c r="D28">
        <f>VLOOKUP($A28,'MF-226'!$A$2:$BV$53,D$1,FALSE)</f>
        <v>2659320</v>
      </c>
      <c r="E28">
        <f>VLOOKUP($A28,'MF-226'!$A$2:$BV$53,E$1,FALSE)</f>
        <v>2753904</v>
      </c>
      <c r="F28">
        <f>VLOOKUP($A28,'MF-226'!$A$2:$BV$53,F$1,FALSE)</f>
        <v>2726870</v>
      </c>
      <c r="G28">
        <f>VLOOKUP($A28,'MF-226'!$A$2:$BV$53,G$1,FALSE)</f>
        <v>2785108</v>
      </c>
      <c r="H28">
        <f>VLOOKUP($A28,'MF-226'!$A$2:$BV$53,H$1,FALSE)</f>
        <v>2804990</v>
      </c>
      <c r="I28">
        <f>VLOOKUP($A28,'MF-226'!$A$2:$BV$53,I$1,FALSE)</f>
        <v>2862072</v>
      </c>
      <c r="J28">
        <f>VLOOKUP($A28,'MF-226'!$A$2:$BV$53,J$1,FALSE)</f>
        <v>2888067</v>
      </c>
      <c r="K28">
        <f>VLOOKUP($A28,'MF-226'!$A$2:$BV$53,K$1,FALSE)</f>
        <v>2961165</v>
      </c>
      <c r="L28">
        <f>VLOOKUP($A28,'MF-226'!$A$2:$BV$53,L$1,FALSE)</f>
        <v>2957977</v>
      </c>
      <c r="M28">
        <f>VLOOKUP($A28,'MF-226'!$A$2:$BV$53,M$1,FALSE)</f>
        <v>3056280.3959999997</v>
      </c>
      <c r="N28">
        <f>VLOOKUP($A28,'MF-226'!$A$2:$BV$53,N$1,FALSE)</f>
        <v>2958880</v>
      </c>
      <c r="O28">
        <f>VLOOKUP($A28,'MF-226'!$A$2:$BV$53,O$1,FALSE)</f>
        <v>3007814</v>
      </c>
      <c r="P28">
        <f>VLOOKUP($A28,'MF-226'!$A$2:$BV$53,P$1,FALSE)</f>
        <v>3145591</v>
      </c>
      <c r="Q28">
        <f>VLOOKUP($A28,'MF-226'!$A$2:$BV$53,Q$1,FALSE)</f>
        <v>3127336</v>
      </c>
      <c r="R28">
        <f>VLOOKUP($A28,'MF-226'!$A$2:$BV$53,R$1,FALSE)</f>
        <v>3083921</v>
      </c>
      <c r="S28">
        <f>VLOOKUP($A28,'MF-226'!$A$2:$BV$53,S$1,FALSE)</f>
        <v>3057674</v>
      </c>
      <c r="T28">
        <f>VLOOKUP($A28,'MF-226'!$A$2:$BV$53,T$1,FALSE)</f>
        <v>3122420</v>
      </c>
      <c r="U28">
        <f>VLOOKUP($A28,'MF-226'!$A$2:$BV$53,U$1,FALSE)</f>
        <v>3133624</v>
      </c>
      <c r="V28">
        <f>VLOOKUP($A28,'MF-226'!$A$2:$BV$53,V$1,FALSE)</f>
        <v>3123611</v>
      </c>
      <c r="W28">
        <f>VLOOKUP($A28,'MF-226'!$A$2:$BV$53,W$1,FALSE)</f>
        <v>3140943</v>
      </c>
      <c r="X28">
        <f>VLOOKUP($A28,'MF-226'!$A$2:$BV$53,X$1,FALSE)</f>
        <v>3047982</v>
      </c>
      <c r="Y28">
        <f>VLOOKUP($A28,'MF-226'!$A$2:$BV$53,Y$1,FALSE)</f>
        <v>3011447</v>
      </c>
      <c r="Z28">
        <f>VLOOKUP($A28,'MF-226'!$A$2:$BV$53,Z$1,FALSE)</f>
        <v>2993312</v>
      </c>
      <c r="AA28">
        <f>VLOOKUP($A28,'MF-226'!$A$2:$BV$53,AA$1,FALSE)</f>
        <v>3126234</v>
      </c>
      <c r="AB28">
        <f>VLOOKUP($A28,'MF-226'!$A$2:$BV$53,AB$1,FALSE)</f>
        <v>2954269</v>
      </c>
      <c r="AC28">
        <f>VLOOKUP($A28,'MF-226'!$A$2:$BV$53,AC$1,FALSE)</f>
        <v>3069337</v>
      </c>
      <c r="AD28">
        <f>VLOOKUP($A28,'MF-226'!$A$2:$BV$53,AD$1,FALSE)</f>
        <v>3034445</v>
      </c>
      <c r="AE28">
        <f>VLOOKUP($A28,'MF-226'!$A$2:$BV$53,AE$1,FALSE)</f>
        <v>3000963</v>
      </c>
      <c r="AF28">
        <f>VLOOKUP($A28,'MF-226'!$A$2:$BV$53,AF$1,FALSE)</f>
        <v>2993792</v>
      </c>
      <c r="AG28">
        <f>VLOOKUP($A28,'MF-226'!$A$2:$BV$53,AG$1,FALSE)</f>
        <v>2760594</v>
      </c>
      <c r="AH28">
        <f>VLOOKUP($A28,'MF-226'!$A$2:$BV$53,AH$1,FALSE)</f>
        <v>3000824</v>
      </c>
    </row>
    <row r="29" spans="1:34">
      <c r="A29" t="s">
        <v>25</v>
      </c>
      <c r="B29" t="str">
        <f>VLOOKUP(A29,'State Codes'!$C$10:$D$63,2,FALSE)</f>
        <v>MT</v>
      </c>
      <c r="C29">
        <f>VLOOKUP($A29,'MF-226'!$A$2:$BV$53,C$1,FALSE)</f>
        <v>410718</v>
      </c>
      <c r="D29">
        <f>VLOOKUP($A29,'MF-226'!$A$2:$BV$53,D$1,FALSE)</f>
        <v>409896</v>
      </c>
      <c r="E29">
        <f>VLOOKUP($A29,'MF-226'!$A$2:$BV$53,E$1,FALSE)</f>
        <v>432413</v>
      </c>
      <c r="F29">
        <f>VLOOKUP($A29,'MF-226'!$A$2:$BV$53,F$1,FALSE)</f>
        <v>441553</v>
      </c>
      <c r="G29">
        <f>VLOOKUP($A29,'MF-226'!$A$2:$BV$53,G$1,FALSE)</f>
        <v>444618</v>
      </c>
      <c r="H29">
        <f>VLOOKUP($A29,'MF-226'!$A$2:$BV$53,H$1,FALSE)</f>
        <v>447134</v>
      </c>
      <c r="I29">
        <f>VLOOKUP($A29,'MF-226'!$A$2:$BV$53,I$1,FALSE)</f>
        <v>466331</v>
      </c>
      <c r="J29">
        <f>VLOOKUP($A29,'MF-226'!$A$2:$BV$53,J$1,FALSE)</f>
        <v>454226</v>
      </c>
      <c r="K29">
        <f>VLOOKUP($A29,'MF-226'!$A$2:$BV$53,K$1,FALSE)</f>
        <v>469369</v>
      </c>
      <c r="L29">
        <f>VLOOKUP($A29,'MF-226'!$A$2:$BV$53,L$1,FALSE)</f>
        <v>480754</v>
      </c>
      <c r="M29">
        <f>VLOOKUP($A29,'MF-226'!$A$2:$BV$53,M$1,FALSE)</f>
        <v>469683.26299999992</v>
      </c>
      <c r="N29">
        <f>VLOOKUP($A29,'MF-226'!$A$2:$BV$53,N$1,FALSE)</f>
        <v>467567</v>
      </c>
      <c r="O29">
        <f>VLOOKUP($A29,'MF-226'!$A$2:$BV$53,O$1,FALSE)</f>
        <v>476027</v>
      </c>
      <c r="P29">
        <f>VLOOKUP($A29,'MF-226'!$A$2:$BV$53,P$1,FALSE)</f>
        <v>476160</v>
      </c>
      <c r="Q29">
        <f>VLOOKUP($A29,'MF-226'!$A$2:$BV$53,Q$1,FALSE)</f>
        <v>474580</v>
      </c>
      <c r="R29">
        <f>VLOOKUP($A29,'MF-226'!$A$2:$BV$53,R$1,FALSE)</f>
        <v>460947</v>
      </c>
      <c r="S29">
        <f>VLOOKUP($A29,'MF-226'!$A$2:$BV$53,S$1,FALSE)</f>
        <v>460703</v>
      </c>
      <c r="T29">
        <f>VLOOKUP($A29,'MF-226'!$A$2:$BV$53,T$1,FALSE)</f>
        <v>471532</v>
      </c>
      <c r="U29">
        <f>VLOOKUP($A29,'MF-226'!$A$2:$BV$53,U$1,FALSE)</f>
        <v>459218</v>
      </c>
      <c r="V29">
        <f>VLOOKUP($A29,'MF-226'!$A$2:$BV$53,V$1,FALSE)</f>
        <v>471907</v>
      </c>
      <c r="W29">
        <f>VLOOKUP($A29,'MF-226'!$A$2:$BV$53,W$1,FALSE)</f>
        <v>480645</v>
      </c>
      <c r="X29">
        <f>VLOOKUP($A29,'MF-226'!$A$2:$BV$53,X$1,FALSE)</f>
        <v>477530</v>
      </c>
      <c r="Y29">
        <f>VLOOKUP($A29,'MF-226'!$A$2:$BV$53,Y$1,FALSE)</f>
        <v>487822</v>
      </c>
      <c r="Z29">
        <f>VLOOKUP($A29,'MF-226'!$A$2:$BV$53,Z$1,FALSE)</f>
        <v>492003</v>
      </c>
      <c r="AA29">
        <f>VLOOKUP($A29,'MF-226'!$A$2:$BV$53,AA$1,FALSE)</f>
        <v>511567</v>
      </c>
      <c r="AB29">
        <f>VLOOKUP($A29,'MF-226'!$A$2:$BV$53,AB$1,FALSE)</f>
        <v>483132</v>
      </c>
      <c r="AC29">
        <f>VLOOKUP($A29,'MF-226'!$A$2:$BV$53,AC$1,FALSE)</f>
        <v>491288</v>
      </c>
      <c r="AD29">
        <f>VLOOKUP($A29,'MF-226'!$A$2:$BV$53,AD$1,FALSE)</f>
        <v>490292</v>
      </c>
      <c r="AE29">
        <f>VLOOKUP($A29,'MF-226'!$A$2:$BV$53,AE$1,FALSE)</f>
        <v>480769</v>
      </c>
      <c r="AF29">
        <f>VLOOKUP($A29,'MF-226'!$A$2:$BV$53,AF$1,FALSE)</f>
        <v>485015</v>
      </c>
      <c r="AG29">
        <f>VLOOKUP($A29,'MF-226'!$A$2:$BV$53,AG$1,FALSE)</f>
        <v>452601</v>
      </c>
      <c r="AH29">
        <f>VLOOKUP($A29,'MF-226'!$A$2:$BV$53,AH$1,FALSE)</f>
        <v>505462</v>
      </c>
    </row>
    <row r="30" spans="1:34">
      <c r="A30" t="s">
        <v>26</v>
      </c>
      <c r="B30" t="str">
        <f>VLOOKUP(A30,'State Codes'!$C$10:$D$63,2,FALSE)</f>
        <v>NE</v>
      </c>
      <c r="C30">
        <f>VLOOKUP($A30,'MF-226'!$A$2:$BV$53,C$1,FALSE)</f>
        <v>739805</v>
      </c>
      <c r="D30">
        <f>VLOOKUP($A30,'MF-226'!$A$2:$BV$53,D$1,FALSE)</f>
        <v>709321</v>
      </c>
      <c r="E30">
        <f>VLOOKUP($A30,'MF-226'!$A$2:$BV$53,E$1,FALSE)</f>
        <v>729333</v>
      </c>
      <c r="F30">
        <f>VLOOKUP($A30,'MF-226'!$A$2:$BV$53,F$1,FALSE)</f>
        <v>734101</v>
      </c>
      <c r="G30">
        <f>VLOOKUP($A30,'MF-226'!$A$2:$BV$53,G$1,FALSE)</f>
        <v>734141</v>
      </c>
      <c r="H30">
        <f>VLOOKUP($A30,'MF-226'!$A$2:$BV$53,H$1,FALSE)</f>
        <v>776764</v>
      </c>
      <c r="I30">
        <f>VLOOKUP($A30,'MF-226'!$A$2:$BV$53,I$1,FALSE)</f>
        <v>787102</v>
      </c>
      <c r="J30">
        <f>VLOOKUP($A30,'MF-226'!$A$2:$BV$53,J$1,FALSE)</f>
        <v>800385</v>
      </c>
      <c r="K30">
        <f>VLOOKUP($A30,'MF-226'!$A$2:$BV$53,K$1,FALSE)</f>
        <v>810204</v>
      </c>
      <c r="L30">
        <f>VLOOKUP($A30,'MF-226'!$A$2:$BV$53,L$1,FALSE)</f>
        <v>839188</v>
      </c>
      <c r="M30">
        <f>VLOOKUP($A30,'MF-226'!$A$2:$BV$53,M$1,FALSE)</f>
        <v>824435.96900000004</v>
      </c>
      <c r="N30">
        <f>VLOOKUP($A30,'MF-226'!$A$2:$BV$53,N$1,FALSE)</f>
        <v>812247</v>
      </c>
      <c r="O30">
        <f>VLOOKUP($A30,'MF-226'!$A$2:$BV$53,O$1,FALSE)</f>
        <v>830312</v>
      </c>
      <c r="P30">
        <f>VLOOKUP($A30,'MF-226'!$A$2:$BV$53,P$1,FALSE)</f>
        <v>825562</v>
      </c>
      <c r="Q30">
        <f>VLOOKUP($A30,'MF-226'!$A$2:$BV$53,Q$1,FALSE)</f>
        <v>812890</v>
      </c>
      <c r="R30">
        <f>VLOOKUP($A30,'MF-226'!$A$2:$BV$53,R$1,FALSE)</f>
        <v>783281</v>
      </c>
      <c r="S30">
        <f>VLOOKUP($A30,'MF-226'!$A$2:$BV$53,S$1,FALSE)</f>
        <v>769987</v>
      </c>
      <c r="T30">
        <f>VLOOKUP($A30,'MF-226'!$A$2:$BV$53,T$1,FALSE)</f>
        <v>797395</v>
      </c>
      <c r="U30">
        <f>VLOOKUP($A30,'MF-226'!$A$2:$BV$53,U$1,FALSE)</f>
        <v>805606</v>
      </c>
      <c r="V30">
        <f>VLOOKUP($A30,'MF-226'!$A$2:$BV$53,V$1,FALSE)</f>
        <v>796462</v>
      </c>
      <c r="W30">
        <f>VLOOKUP($A30,'MF-226'!$A$2:$BV$53,W$1,FALSE)</f>
        <v>819892</v>
      </c>
      <c r="X30">
        <f>VLOOKUP($A30,'MF-226'!$A$2:$BV$53,X$1,FALSE)</f>
        <v>797328</v>
      </c>
      <c r="Y30">
        <f>VLOOKUP($A30,'MF-226'!$A$2:$BV$53,Y$1,FALSE)</f>
        <v>806781</v>
      </c>
      <c r="Z30">
        <f>VLOOKUP($A30,'MF-226'!$A$2:$BV$53,Z$1,FALSE)</f>
        <v>820593</v>
      </c>
      <c r="AA30">
        <f>VLOOKUP($A30,'MF-226'!$A$2:$BV$53,AA$1,FALSE)</f>
        <v>878773</v>
      </c>
      <c r="AB30">
        <f>VLOOKUP($A30,'MF-226'!$A$2:$BV$53,AB$1,FALSE)</f>
        <v>822527</v>
      </c>
      <c r="AC30">
        <f>VLOOKUP($A30,'MF-226'!$A$2:$BV$53,AC$1,FALSE)</f>
        <v>849515</v>
      </c>
      <c r="AD30">
        <f>VLOOKUP($A30,'MF-226'!$A$2:$BV$53,AD$1,FALSE)</f>
        <v>846622.28643903276</v>
      </c>
      <c r="AE30">
        <f>VLOOKUP($A30,'MF-226'!$A$2:$BV$53,AE$1,FALSE)</f>
        <v>852503</v>
      </c>
      <c r="AF30">
        <f>VLOOKUP($A30,'MF-226'!$A$2:$BV$53,AF$1,FALSE)</f>
        <v>863333</v>
      </c>
      <c r="AG30">
        <f>VLOOKUP($A30,'MF-226'!$A$2:$BV$53,AG$1,FALSE)</f>
        <v>789410</v>
      </c>
      <c r="AH30">
        <f>VLOOKUP($A30,'MF-226'!$A$2:$BV$53,AH$1,FALSE)</f>
        <v>852286</v>
      </c>
    </row>
    <row r="31" spans="1:34">
      <c r="A31" t="s">
        <v>27</v>
      </c>
      <c r="B31" t="str">
        <f>VLOOKUP(A31,'State Codes'!$C$10:$D$63,2,FALSE)</f>
        <v>NV</v>
      </c>
      <c r="C31">
        <f>VLOOKUP($A31,'MF-226'!$A$2:$BV$53,C$1,FALSE)</f>
        <v>627053</v>
      </c>
      <c r="D31">
        <f>VLOOKUP($A31,'MF-226'!$A$2:$BV$53,D$1,FALSE)</f>
        <v>639883</v>
      </c>
      <c r="E31">
        <f>VLOOKUP($A31,'MF-226'!$A$2:$BV$53,E$1,FALSE)</f>
        <v>677246</v>
      </c>
      <c r="F31">
        <f>VLOOKUP($A31,'MF-226'!$A$2:$BV$53,F$1,FALSE)</f>
        <v>680774</v>
      </c>
      <c r="G31">
        <f>VLOOKUP($A31,'MF-226'!$A$2:$BV$53,G$1,FALSE)</f>
        <v>722015</v>
      </c>
      <c r="H31">
        <f>VLOOKUP($A31,'MF-226'!$A$2:$BV$53,H$1,FALSE)</f>
        <v>744557</v>
      </c>
      <c r="I31">
        <f>VLOOKUP($A31,'MF-226'!$A$2:$BV$53,I$1,FALSE)</f>
        <v>788368</v>
      </c>
      <c r="J31">
        <f>VLOOKUP($A31,'MF-226'!$A$2:$BV$53,J$1,FALSE)</f>
        <v>826250</v>
      </c>
      <c r="K31">
        <f>VLOOKUP($A31,'MF-226'!$A$2:$BV$53,K$1,FALSE)</f>
        <v>909619</v>
      </c>
      <c r="L31">
        <f>VLOOKUP($A31,'MF-226'!$A$2:$BV$53,L$1,FALSE)</f>
        <v>908280</v>
      </c>
      <c r="M31">
        <f>VLOOKUP($A31,'MF-226'!$A$2:$BV$53,M$1,FALSE)</f>
        <v>924418.11700000009</v>
      </c>
      <c r="N31">
        <f>VLOOKUP($A31,'MF-226'!$A$2:$BV$53,N$1,FALSE)</f>
        <v>945643</v>
      </c>
      <c r="O31">
        <f>VLOOKUP($A31,'MF-226'!$A$2:$BV$53,O$1,FALSE)</f>
        <v>973693</v>
      </c>
      <c r="P31">
        <f>VLOOKUP($A31,'MF-226'!$A$2:$BV$53,P$1,FALSE)</f>
        <v>1031421</v>
      </c>
      <c r="Q31">
        <f>VLOOKUP($A31,'MF-226'!$A$2:$BV$53,Q$1,FALSE)</f>
        <v>1071395</v>
      </c>
      <c r="R31">
        <f>VLOOKUP($A31,'MF-226'!$A$2:$BV$53,R$1,FALSE)</f>
        <v>1101745</v>
      </c>
      <c r="S31">
        <f>VLOOKUP($A31,'MF-226'!$A$2:$BV$53,S$1,FALSE)</f>
        <v>1134032</v>
      </c>
      <c r="T31">
        <f>VLOOKUP($A31,'MF-226'!$A$2:$BV$53,T$1,FALSE)</f>
        <v>1150227</v>
      </c>
      <c r="U31">
        <f>VLOOKUP($A31,'MF-226'!$A$2:$BV$53,U$1,FALSE)</f>
        <v>1099038</v>
      </c>
      <c r="V31">
        <f>VLOOKUP($A31,'MF-226'!$A$2:$BV$53,V$1,FALSE)</f>
        <v>1076408</v>
      </c>
      <c r="W31">
        <f>VLOOKUP($A31,'MF-226'!$A$2:$BV$53,W$1,FALSE)</f>
        <v>1072826</v>
      </c>
      <c r="X31">
        <f>VLOOKUP($A31,'MF-226'!$A$2:$BV$53,X$1,FALSE)</f>
        <v>1062129</v>
      </c>
      <c r="Y31">
        <f>VLOOKUP($A31,'MF-226'!$A$2:$BV$53,Y$1,FALSE)</f>
        <v>1064148</v>
      </c>
      <c r="Z31">
        <f>VLOOKUP($A31,'MF-226'!$A$2:$BV$53,Z$1,FALSE)</f>
        <v>1075716</v>
      </c>
      <c r="AA31">
        <f>VLOOKUP($A31,'MF-226'!$A$2:$BV$53,AA$1,FALSE)</f>
        <v>1103239</v>
      </c>
      <c r="AB31">
        <f>VLOOKUP($A31,'MF-226'!$A$2:$BV$53,AB$1,FALSE)</f>
        <v>1068058</v>
      </c>
      <c r="AC31">
        <f>VLOOKUP($A31,'MF-226'!$A$2:$BV$53,AC$1,FALSE)</f>
        <v>1100905</v>
      </c>
      <c r="AD31">
        <f>VLOOKUP($A31,'MF-226'!$A$2:$BV$53,AD$1,FALSE)</f>
        <v>1131419.1915029215</v>
      </c>
      <c r="AE31">
        <f>VLOOKUP($A31,'MF-226'!$A$2:$BV$53,AE$1,FALSE)</f>
        <v>1155595</v>
      </c>
      <c r="AF31">
        <f>VLOOKUP($A31,'MF-226'!$A$2:$BV$53,AF$1,FALSE)</f>
        <v>1157367</v>
      </c>
      <c r="AG31">
        <f>VLOOKUP($A31,'MF-226'!$A$2:$BV$53,AG$1,FALSE)</f>
        <v>984968</v>
      </c>
      <c r="AH31">
        <f>VLOOKUP($A31,'MF-226'!$A$2:$BV$53,AH$1,FALSE)</f>
        <v>1122654</v>
      </c>
    </row>
    <row r="32" spans="1:34">
      <c r="A32" t="s">
        <v>28</v>
      </c>
      <c r="B32" t="str">
        <f>VLOOKUP(A32,'State Codes'!$C$10:$D$63,2,FALSE)</f>
        <v>NH</v>
      </c>
      <c r="C32">
        <f>VLOOKUP($A32,'MF-226'!$A$2:$BV$53,C$1,FALSE)</f>
        <v>493509</v>
      </c>
      <c r="D32">
        <f>VLOOKUP($A32,'MF-226'!$A$2:$BV$53,D$1,FALSE)</f>
        <v>504641</v>
      </c>
      <c r="E32">
        <f>VLOOKUP($A32,'MF-226'!$A$2:$BV$53,E$1,FALSE)</f>
        <v>510788</v>
      </c>
      <c r="F32">
        <f>VLOOKUP($A32,'MF-226'!$A$2:$BV$53,F$1,FALSE)</f>
        <v>520732</v>
      </c>
      <c r="G32">
        <f>VLOOKUP($A32,'MF-226'!$A$2:$BV$53,G$1,FALSE)</f>
        <v>534520</v>
      </c>
      <c r="H32">
        <f>VLOOKUP($A32,'MF-226'!$A$2:$BV$53,H$1,FALSE)</f>
        <v>555636</v>
      </c>
      <c r="I32">
        <f>VLOOKUP($A32,'MF-226'!$A$2:$BV$53,I$1,FALSE)</f>
        <v>576689</v>
      </c>
      <c r="J32">
        <f>VLOOKUP($A32,'MF-226'!$A$2:$BV$53,J$1,FALSE)</f>
        <v>608267</v>
      </c>
      <c r="K32">
        <f>VLOOKUP($A32,'MF-226'!$A$2:$BV$53,K$1,FALSE)</f>
        <v>626964</v>
      </c>
      <c r="L32">
        <f>VLOOKUP($A32,'MF-226'!$A$2:$BV$53,L$1,FALSE)</f>
        <v>652558</v>
      </c>
      <c r="M32">
        <f>VLOOKUP($A32,'MF-226'!$A$2:$BV$53,M$1,FALSE)</f>
        <v>660399.13399999985</v>
      </c>
      <c r="N32">
        <f>VLOOKUP($A32,'MF-226'!$A$2:$BV$53,N$1,FALSE)</f>
        <v>662474.7696</v>
      </c>
      <c r="O32">
        <f>VLOOKUP($A32,'MF-226'!$A$2:$BV$53,O$1,FALSE)</f>
        <v>687666</v>
      </c>
      <c r="P32">
        <f>VLOOKUP($A32,'MF-226'!$A$2:$BV$53,P$1,FALSE)</f>
        <v>695867</v>
      </c>
      <c r="Q32">
        <f>VLOOKUP($A32,'MF-226'!$A$2:$BV$53,Q$1,FALSE)</f>
        <v>698468</v>
      </c>
      <c r="R32">
        <f>VLOOKUP($A32,'MF-226'!$A$2:$BV$53,R$1,FALSE)</f>
        <v>681316</v>
      </c>
      <c r="S32">
        <f>VLOOKUP($A32,'MF-226'!$A$2:$BV$53,S$1,FALSE)</f>
        <v>685785</v>
      </c>
      <c r="T32">
        <f>VLOOKUP($A32,'MF-226'!$A$2:$BV$53,T$1,FALSE)</f>
        <v>708605</v>
      </c>
      <c r="U32">
        <f>VLOOKUP($A32,'MF-226'!$A$2:$BV$53,U$1,FALSE)</f>
        <v>700772</v>
      </c>
      <c r="V32">
        <f>VLOOKUP($A32,'MF-226'!$A$2:$BV$53,V$1,FALSE)</f>
        <v>698256</v>
      </c>
      <c r="W32">
        <f>VLOOKUP($A32,'MF-226'!$A$2:$BV$53,W$1,FALSE)</f>
        <v>698888</v>
      </c>
      <c r="X32">
        <f>VLOOKUP($A32,'MF-226'!$A$2:$BV$53,X$1,FALSE)</f>
        <v>685817</v>
      </c>
      <c r="Y32">
        <f>VLOOKUP($A32,'MF-226'!$A$2:$BV$53,Y$1,FALSE)</f>
        <v>681830</v>
      </c>
      <c r="Z32">
        <f>VLOOKUP($A32,'MF-226'!$A$2:$BV$53,Z$1,FALSE)</f>
        <v>684861</v>
      </c>
      <c r="AA32">
        <f>VLOOKUP($A32,'MF-226'!$A$2:$BV$53,AA$1,FALSE)</f>
        <v>701066</v>
      </c>
      <c r="AB32">
        <f>VLOOKUP($A32,'MF-226'!$A$2:$BV$53,AB$1,FALSE)</f>
        <v>656859</v>
      </c>
      <c r="AC32">
        <f>VLOOKUP($A32,'MF-226'!$A$2:$BV$53,AC$1,FALSE)</f>
        <v>660553</v>
      </c>
      <c r="AD32">
        <f>VLOOKUP($A32,'MF-226'!$A$2:$BV$53,AD$1,FALSE)</f>
        <v>665381</v>
      </c>
      <c r="AE32">
        <f>VLOOKUP($A32,'MF-226'!$A$2:$BV$53,AE$1,FALSE)</f>
        <v>671676</v>
      </c>
      <c r="AF32">
        <f>VLOOKUP($A32,'MF-226'!$A$2:$BV$53,AF$1,FALSE)</f>
        <v>677217</v>
      </c>
      <c r="AG32">
        <f>VLOOKUP($A32,'MF-226'!$A$2:$BV$53,AG$1,FALSE)</f>
        <v>568811</v>
      </c>
      <c r="AH32">
        <f>VLOOKUP($A32,'MF-226'!$A$2:$BV$53,AH$1,FALSE)</f>
        <v>618597</v>
      </c>
    </row>
    <row r="33" spans="1:34">
      <c r="A33" t="s">
        <v>29</v>
      </c>
      <c r="B33" t="str">
        <f>VLOOKUP(A33,'State Codes'!$C$10:$D$63,2,FALSE)</f>
        <v>NJ</v>
      </c>
      <c r="C33">
        <f>VLOOKUP($A33,'MF-226'!$A$2:$BV$53,C$1,FALSE)</f>
        <v>3275142</v>
      </c>
      <c r="D33">
        <f>VLOOKUP($A33,'MF-226'!$A$2:$BV$53,D$1,FALSE)</f>
        <v>3307522</v>
      </c>
      <c r="E33">
        <f>VLOOKUP($A33,'MF-226'!$A$2:$BV$53,E$1,FALSE)</f>
        <v>3223142</v>
      </c>
      <c r="F33">
        <f>VLOOKUP($A33,'MF-226'!$A$2:$BV$53,F$1,FALSE)</f>
        <v>2945054</v>
      </c>
      <c r="G33">
        <f>VLOOKUP($A33,'MF-226'!$A$2:$BV$53,G$1,FALSE)</f>
        <v>3421112</v>
      </c>
      <c r="H33">
        <f>VLOOKUP($A33,'MF-226'!$A$2:$BV$53,H$1,FALSE)</f>
        <v>3403952</v>
      </c>
      <c r="I33">
        <f>VLOOKUP($A33,'MF-226'!$A$2:$BV$53,I$1,FALSE)</f>
        <v>3581653</v>
      </c>
      <c r="J33">
        <f>VLOOKUP($A33,'MF-226'!$A$2:$BV$53,J$1,FALSE)</f>
        <v>3700735</v>
      </c>
      <c r="K33">
        <f>VLOOKUP($A33,'MF-226'!$A$2:$BV$53,K$1,FALSE)</f>
        <v>3824124</v>
      </c>
      <c r="L33">
        <f>VLOOKUP($A33,'MF-226'!$A$2:$BV$53,L$1,FALSE)</f>
        <v>3864358</v>
      </c>
      <c r="M33">
        <f>VLOOKUP($A33,'MF-226'!$A$2:$BV$53,M$1,FALSE)</f>
        <v>3961872.2190000005</v>
      </c>
      <c r="N33">
        <f>VLOOKUP($A33,'MF-226'!$A$2:$BV$53,N$1,FALSE)</f>
        <v>3911837</v>
      </c>
      <c r="O33">
        <f>VLOOKUP($A33,'MF-226'!$A$2:$BV$53,O$1,FALSE)</f>
        <v>4003263</v>
      </c>
      <c r="P33">
        <f>VLOOKUP($A33,'MF-226'!$A$2:$BV$53,P$1,FALSE)</f>
        <v>4101621</v>
      </c>
      <c r="Q33">
        <f>VLOOKUP($A33,'MF-226'!$A$2:$BV$53,Q$1,FALSE)</f>
        <v>4296762</v>
      </c>
      <c r="R33">
        <f>VLOOKUP($A33,'MF-226'!$A$2:$BV$53,R$1,FALSE)</f>
        <v>4216732</v>
      </c>
      <c r="S33">
        <f>VLOOKUP($A33,'MF-226'!$A$2:$BV$53,S$1,FALSE)</f>
        <v>4184152</v>
      </c>
      <c r="T33">
        <f>VLOOKUP($A33,'MF-226'!$A$2:$BV$53,T$1,FALSE)</f>
        <v>4270281</v>
      </c>
      <c r="U33">
        <f>VLOOKUP($A33,'MF-226'!$A$2:$BV$53,U$1,FALSE)</f>
        <v>4196176</v>
      </c>
      <c r="V33">
        <f>VLOOKUP($A33,'MF-226'!$A$2:$BV$53,V$1,FALSE)</f>
        <v>4116680</v>
      </c>
      <c r="W33">
        <f>VLOOKUP($A33,'MF-226'!$A$2:$BV$53,W$1,FALSE)</f>
        <v>4101585</v>
      </c>
      <c r="X33">
        <f>VLOOKUP($A33,'MF-226'!$A$2:$BV$53,X$1,FALSE)</f>
        <v>4060488</v>
      </c>
      <c r="Y33">
        <f>VLOOKUP($A33,'MF-226'!$A$2:$BV$53,Y$1,FALSE)</f>
        <v>3981558</v>
      </c>
      <c r="Z33">
        <f>VLOOKUP($A33,'MF-226'!$A$2:$BV$53,Z$1,FALSE)</f>
        <v>3883240</v>
      </c>
      <c r="AA33">
        <f>VLOOKUP($A33,'MF-226'!$A$2:$BV$53,AA$1,FALSE)</f>
        <v>4082825</v>
      </c>
      <c r="AB33">
        <f>VLOOKUP($A33,'MF-226'!$A$2:$BV$53,AB$1,FALSE)</f>
        <v>3928510</v>
      </c>
      <c r="AC33">
        <f>VLOOKUP($A33,'MF-226'!$A$2:$BV$53,AC$1,FALSE)</f>
        <v>4049271</v>
      </c>
      <c r="AD33">
        <f>VLOOKUP($A33,'MF-226'!$A$2:$BV$53,AD$1,FALSE)</f>
        <v>3854317</v>
      </c>
      <c r="AE33">
        <f>VLOOKUP($A33,'MF-226'!$A$2:$BV$53,AE$1,FALSE)</f>
        <v>3762582</v>
      </c>
      <c r="AF33">
        <f>VLOOKUP($A33,'MF-226'!$A$2:$BV$53,AF$1,FALSE)</f>
        <v>3770732</v>
      </c>
      <c r="AG33">
        <f>VLOOKUP($A33,'MF-226'!$A$2:$BV$53,AG$1,FALSE)</f>
        <v>2971094</v>
      </c>
      <c r="AH33">
        <f>VLOOKUP($A33,'MF-226'!$A$2:$BV$53,AH$1,FALSE)</f>
        <v>3339170</v>
      </c>
    </row>
    <row r="34" spans="1:34">
      <c r="A34" t="s">
        <v>30</v>
      </c>
      <c r="B34" t="str">
        <f>VLOOKUP(A34,'State Codes'!$C$10:$D$63,2,FALSE)</f>
        <v>NM</v>
      </c>
      <c r="C34">
        <f>VLOOKUP($A34,'MF-226'!$A$2:$BV$53,C$1,FALSE)</f>
        <v>777137</v>
      </c>
      <c r="D34">
        <f>VLOOKUP($A34,'MF-226'!$A$2:$BV$53,D$1,FALSE)</f>
        <v>792917</v>
      </c>
      <c r="E34">
        <f>VLOOKUP($A34,'MF-226'!$A$2:$BV$53,E$1,FALSE)</f>
        <v>818289</v>
      </c>
      <c r="F34">
        <f>VLOOKUP($A34,'MF-226'!$A$2:$BV$53,F$1,FALSE)</f>
        <v>841196</v>
      </c>
      <c r="G34">
        <f>VLOOKUP($A34,'MF-226'!$A$2:$BV$53,G$1,FALSE)</f>
        <v>858229</v>
      </c>
      <c r="H34">
        <f>VLOOKUP($A34,'MF-226'!$A$2:$BV$53,H$1,FALSE)</f>
        <v>853786</v>
      </c>
      <c r="I34">
        <f>VLOOKUP($A34,'MF-226'!$A$2:$BV$53,I$1,FALSE)</f>
        <v>824769</v>
      </c>
      <c r="J34">
        <f>VLOOKUP($A34,'MF-226'!$A$2:$BV$53,J$1,FALSE)</f>
        <v>876521</v>
      </c>
      <c r="K34">
        <f>VLOOKUP($A34,'MF-226'!$A$2:$BV$53,K$1,FALSE)</f>
        <v>901559</v>
      </c>
      <c r="L34">
        <f>VLOOKUP($A34,'MF-226'!$A$2:$BV$53,L$1,FALSE)</f>
        <v>925648</v>
      </c>
      <c r="M34">
        <f>VLOOKUP($A34,'MF-226'!$A$2:$BV$53,M$1,FALSE)</f>
        <v>879834.14199999999</v>
      </c>
      <c r="N34">
        <f>VLOOKUP($A34,'MF-226'!$A$2:$BV$53,N$1,FALSE)</f>
        <v>885829</v>
      </c>
      <c r="O34">
        <f>VLOOKUP($A34,'MF-226'!$A$2:$BV$53,O$1,FALSE)</f>
        <v>904705</v>
      </c>
      <c r="P34">
        <f>VLOOKUP($A34,'MF-226'!$A$2:$BV$53,P$1,FALSE)</f>
        <v>910555</v>
      </c>
      <c r="Q34">
        <f>VLOOKUP($A34,'MF-226'!$A$2:$BV$53,Q$1,FALSE)</f>
        <v>944775</v>
      </c>
      <c r="R34">
        <f>VLOOKUP($A34,'MF-226'!$A$2:$BV$53,R$1,FALSE)</f>
        <v>926716</v>
      </c>
      <c r="S34">
        <f>VLOOKUP($A34,'MF-226'!$A$2:$BV$53,S$1,FALSE)</f>
        <v>928810</v>
      </c>
      <c r="T34">
        <f>VLOOKUP($A34,'MF-226'!$A$2:$BV$53,T$1,FALSE)</f>
        <v>919001</v>
      </c>
      <c r="U34">
        <f>VLOOKUP($A34,'MF-226'!$A$2:$BV$53,U$1,FALSE)</f>
        <v>890040</v>
      </c>
      <c r="V34">
        <f>VLOOKUP($A34,'MF-226'!$A$2:$BV$53,V$1,FALSE)</f>
        <v>936024</v>
      </c>
      <c r="W34">
        <f>VLOOKUP($A34,'MF-226'!$A$2:$BV$53,W$1,FALSE)</f>
        <v>889353</v>
      </c>
      <c r="X34">
        <f>VLOOKUP($A34,'MF-226'!$A$2:$BV$53,X$1,FALSE)</f>
        <v>929744</v>
      </c>
      <c r="Y34">
        <f>VLOOKUP($A34,'MF-226'!$A$2:$BV$53,Y$1,FALSE)</f>
        <v>939644</v>
      </c>
      <c r="Z34">
        <f>VLOOKUP($A34,'MF-226'!$A$2:$BV$53,Z$1,FALSE)</f>
        <v>919011</v>
      </c>
      <c r="AA34">
        <f>VLOOKUP($A34,'MF-226'!$A$2:$BV$53,AA$1,FALSE)</f>
        <v>959858</v>
      </c>
      <c r="AB34">
        <f>VLOOKUP($A34,'MF-226'!$A$2:$BV$53,AB$1,FALSE)</f>
        <v>913565</v>
      </c>
      <c r="AC34">
        <f>VLOOKUP($A34,'MF-226'!$A$2:$BV$53,AC$1,FALSE)</f>
        <v>904361</v>
      </c>
      <c r="AD34">
        <f>VLOOKUP($A34,'MF-226'!$A$2:$BV$53,AD$1,FALSE)</f>
        <v>962755</v>
      </c>
      <c r="AE34">
        <f>VLOOKUP($A34,'MF-226'!$A$2:$BV$53,AE$1,FALSE)</f>
        <v>951802</v>
      </c>
      <c r="AF34">
        <f>VLOOKUP($A34,'MF-226'!$A$2:$BV$53,AF$1,FALSE)</f>
        <v>959431</v>
      </c>
      <c r="AG34">
        <f>VLOOKUP($A34,'MF-226'!$A$2:$BV$53,AG$1,FALSE)</f>
        <v>856035</v>
      </c>
      <c r="AH34">
        <f>VLOOKUP($A34,'MF-226'!$A$2:$BV$53,AH$1,FALSE)</f>
        <v>976561</v>
      </c>
    </row>
    <row r="35" spans="1:34">
      <c r="A35" t="s">
        <v>96</v>
      </c>
      <c r="B35" t="str">
        <f>VLOOKUP(A35,'State Codes'!$C$10:$D$63,2,FALSE)</f>
        <v>NY</v>
      </c>
      <c r="C35">
        <f>VLOOKUP($A35,'MF-226'!$A$2:$BV$53,C$1,FALSE)</f>
        <v>5818951</v>
      </c>
      <c r="D35">
        <f>VLOOKUP($A35,'MF-226'!$A$2:$BV$53,D$1,FALSE)</f>
        <v>5542839</v>
      </c>
      <c r="E35">
        <f>VLOOKUP($A35,'MF-226'!$A$2:$BV$53,E$1,FALSE)</f>
        <v>5428866</v>
      </c>
      <c r="F35">
        <f>VLOOKUP($A35,'MF-226'!$A$2:$BV$53,F$1,FALSE)</f>
        <v>5509680</v>
      </c>
      <c r="G35">
        <f>VLOOKUP($A35,'MF-226'!$A$2:$BV$53,G$1,FALSE)</f>
        <v>5365261</v>
      </c>
      <c r="H35">
        <f>VLOOKUP($A35,'MF-226'!$A$2:$BV$53,H$1,FALSE)</f>
        <v>5475492</v>
      </c>
      <c r="I35">
        <f>VLOOKUP($A35,'MF-226'!$A$2:$BV$53,I$1,FALSE)</f>
        <v>5438243</v>
      </c>
      <c r="J35">
        <f>VLOOKUP($A35,'MF-226'!$A$2:$BV$53,J$1,FALSE)</f>
        <v>5435545</v>
      </c>
      <c r="K35">
        <f>VLOOKUP($A35,'MF-226'!$A$2:$BV$53,K$1,FALSE)</f>
        <v>5455609</v>
      </c>
      <c r="L35">
        <f>VLOOKUP($A35,'MF-226'!$A$2:$BV$53,L$1,FALSE)</f>
        <v>5590548</v>
      </c>
      <c r="M35">
        <f>VLOOKUP($A35,'MF-226'!$A$2:$BV$53,M$1,FALSE)</f>
        <v>5522340.1569999997</v>
      </c>
      <c r="N35">
        <f>VLOOKUP($A35,'MF-226'!$A$2:$BV$53,N$1,FALSE)</f>
        <v>5536612</v>
      </c>
      <c r="O35">
        <f>VLOOKUP($A35,'MF-226'!$A$2:$BV$53,O$1,FALSE)</f>
        <v>5617401</v>
      </c>
      <c r="P35">
        <f>VLOOKUP($A35,'MF-226'!$A$2:$BV$53,P$1,FALSE)</f>
        <v>5717835</v>
      </c>
      <c r="Q35">
        <f>VLOOKUP($A35,'MF-226'!$A$2:$BV$53,Q$1,FALSE)</f>
        <v>5652111</v>
      </c>
      <c r="R35">
        <f>VLOOKUP($A35,'MF-226'!$A$2:$BV$53,R$1,FALSE)</f>
        <v>5566962</v>
      </c>
      <c r="S35">
        <f>VLOOKUP($A35,'MF-226'!$A$2:$BV$53,S$1,FALSE)</f>
        <v>5602326</v>
      </c>
      <c r="T35">
        <f>VLOOKUP($A35,'MF-226'!$A$2:$BV$53,T$1,FALSE)</f>
        <v>5561729</v>
      </c>
      <c r="U35">
        <f>VLOOKUP($A35,'MF-226'!$A$2:$BV$53,U$1,FALSE)</f>
        <v>5474523</v>
      </c>
      <c r="V35">
        <f>VLOOKUP($A35,'MF-226'!$A$2:$BV$53,V$1,FALSE)</f>
        <v>5509073</v>
      </c>
      <c r="W35">
        <f>VLOOKUP($A35,'MF-226'!$A$2:$BV$53,W$1,FALSE)</f>
        <v>5619055</v>
      </c>
      <c r="X35">
        <f>VLOOKUP($A35,'MF-226'!$A$2:$BV$53,X$1,FALSE)</f>
        <v>5389479</v>
      </c>
      <c r="Y35">
        <f>VLOOKUP($A35,'MF-226'!$A$2:$BV$53,Y$1,FALSE)</f>
        <v>5272365</v>
      </c>
      <c r="Z35">
        <f>VLOOKUP($A35,'MF-226'!$A$2:$BV$53,Z$1,FALSE)</f>
        <v>5188623</v>
      </c>
      <c r="AA35">
        <f>VLOOKUP($A35,'MF-226'!$A$2:$BV$53,AA$1,FALSE)</f>
        <v>5510992</v>
      </c>
      <c r="AB35">
        <f>VLOOKUP($A35,'MF-226'!$A$2:$BV$53,AB$1,FALSE)</f>
        <v>5090797</v>
      </c>
      <c r="AC35">
        <f>VLOOKUP($A35,'MF-226'!$A$2:$BV$53,AC$1,FALSE)</f>
        <v>5321827</v>
      </c>
      <c r="AD35">
        <f>VLOOKUP($A35,'MF-226'!$A$2:$BV$53,AD$1,FALSE)</f>
        <v>5388111</v>
      </c>
      <c r="AE35">
        <f>VLOOKUP($A35,'MF-226'!$A$2:$BV$53,AE$1,FALSE)</f>
        <v>5444276</v>
      </c>
      <c r="AF35">
        <f>VLOOKUP($A35,'MF-226'!$A$2:$BV$53,AF$1,FALSE)</f>
        <v>5401064</v>
      </c>
      <c r="AG35">
        <f>VLOOKUP($A35,'MF-226'!$A$2:$BV$53,AG$1,FALSE)</f>
        <v>4426844</v>
      </c>
      <c r="AH35">
        <f>VLOOKUP($A35,'MF-226'!$A$2:$BV$53,AH$1,FALSE)</f>
        <v>4927046</v>
      </c>
    </row>
    <row r="36" spans="1:34">
      <c r="A36" t="s">
        <v>31</v>
      </c>
      <c r="B36" t="str">
        <f>VLOOKUP(A36,'State Codes'!$C$10:$D$63,2,FALSE)</f>
        <v>NC</v>
      </c>
      <c r="C36">
        <f>VLOOKUP($A36,'MF-226'!$A$2:$BV$53,C$1,FALSE)</f>
        <v>3210890</v>
      </c>
      <c r="D36">
        <f>VLOOKUP($A36,'MF-226'!$A$2:$BV$53,D$1,FALSE)</f>
        <v>3171674</v>
      </c>
      <c r="E36">
        <f>VLOOKUP($A36,'MF-226'!$A$2:$BV$53,E$1,FALSE)</f>
        <v>3226861</v>
      </c>
      <c r="F36">
        <f>VLOOKUP($A36,'MF-226'!$A$2:$BV$53,F$1,FALSE)</f>
        <v>3403980</v>
      </c>
      <c r="G36">
        <f>VLOOKUP($A36,'MF-226'!$A$2:$BV$53,G$1,FALSE)</f>
        <v>3491594</v>
      </c>
      <c r="H36">
        <f>VLOOKUP($A36,'MF-226'!$A$2:$BV$53,H$1,FALSE)</f>
        <v>3567817</v>
      </c>
      <c r="I36">
        <f>VLOOKUP($A36,'MF-226'!$A$2:$BV$53,I$1,FALSE)</f>
        <v>3647165</v>
      </c>
      <c r="J36">
        <f>VLOOKUP($A36,'MF-226'!$A$2:$BV$53,J$1,FALSE)</f>
        <v>3767918</v>
      </c>
      <c r="K36">
        <f>VLOOKUP($A36,'MF-226'!$A$2:$BV$53,K$1,FALSE)</f>
        <v>3902834</v>
      </c>
      <c r="L36">
        <f>VLOOKUP($A36,'MF-226'!$A$2:$BV$53,L$1,FALSE)</f>
        <v>4081137</v>
      </c>
      <c r="M36">
        <f>VLOOKUP($A36,'MF-226'!$A$2:$BV$53,M$1,FALSE)</f>
        <v>4067020.4569999995</v>
      </c>
      <c r="N36">
        <f>VLOOKUP($A36,'MF-226'!$A$2:$BV$53,N$1,FALSE)</f>
        <v>4060592</v>
      </c>
      <c r="O36">
        <f>VLOOKUP($A36,'MF-226'!$A$2:$BV$53,O$1,FALSE)</f>
        <v>4139592</v>
      </c>
      <c r="P36">
        <f>VLOOKUP($A36,'MF-226'!$A$2:$BV$53,P$1,FALSE)</f>
        <v>4216735</v>
      </c>
      <c r="Q36">
        <f>VLOOKUP($A36,'MF-226'!$A$2:$BV$53,Q$1,FALSE)</f>
        <v>4278624</v>
      </c>
      <c r="R36">
        <f>VLOOKUP($A36,'MF-226'!$A$2:$BV$53,R$1,FALSE)</f>
        <v>4223852</v>
      </c>
      <c r="S36">
        <f>VLOOKUP($A36,'MF-226'!$A$2:$BV$53,S$1,FALSE)</f>
        <v>4210954</v>
      </c>
      <c r="T36">
        <f>VLOOKUP($A36,'MF-226'!$A$2:$BV$53,T$1,FALSE)</f>
        <v>4296237</v>
      </c>
      <c r="U36">
        <f>VLOOKUP($A36,'MF-226'!$A$2:$BV$53,U$1,FALSE)</f>
        <v>4249423</v>
      </c>
      <c r="V36">
        <f>VLOOKUP($A36,'MF-226'!$A$2:$BV$53,V$1,FALSE)</f>
        <v>4264334</v>
      </c>
      <c r="W36">
        <f>VLOOKUP($A36,'MF-226'!$A$2:$BV$53,W$1,FALSE)</f>
        <v>4343660</v>
      </c>
      <c r="X36">
        <f>VLOOKUP($A36,'MF-226'!$A$2:$BV$53,X$1,FALSE)</f>
        <v>4241869</v>
      </c>
      <c r="Y36">
        <f>VLOOKUP($A36,'MF-226'!$A$2:$BV$53,Y$1,FALSE)</f>
        <v>4106118</v>
      </c>
      <c r="Z36">
        <f>VLOOKUP($A36,'MF-226'!$A$2:$BV$53,Z$1,FALSE)</f>
        <v>4177832</v>
      </c>
      <c r="AA36">
        <f>VLOOKUP($A36,'MF-226'!$A$2:$BV$53,AA$1,FALSE)</f>
        <v>4326984</v>
      </c>
      <c r="AB36">
        <f>VLOOKUP($A36,'MF-226'!$A$2:$BV$53,AB$1,FALSE)</f>
        <v>4252094</v>
      </c>
      <c r="AC36">
        <f>VLOOKUP($A36,'MF-226'!$A$2:$BV$53,AC$1,FALSE)</f>
        <v>4481824</v>
      </c>
      <c r="AD36">
        <f>VLOOKUP($A36,'MF-226'!$A$2:$BV$53,AD$1,FALSE)</f>
        <v>4490206</v>
      </c>
      <c r="AE36">
        <f>VLOOKUP($A36,'MF-226'!$A$2:$BV$53,AE$1,FALSE)</f>
        <v>4492129</v>
      </c>
      <c r="AF36">
        <f>VLOOKUP($A36,'MF-226'!$A$2:$BV$53,AF$1,FALSE)</f>
        <v>4633090</v>
      </c>
      <c r="AG36">
        <f>VLOOKUP($A36,'MF-226'!$A$2:$BV$53,AG$1,FALSE)</f>
        <v>4121821</v>
      </c>
      <c r="AH36">
        <f>VLOOKUP($A36,'MF-226'!$A$2:$BV$53,AH$1,FALSE)</f>
        <v>4576016</v>
      </c>
    </row>
    <row r="37" spans="1:34">
      <c r="A37" t="s">
        <v>32</v>
      </c>
      <c r="B37" t="str">
        <f>VLOOKUP(A37,'State Codes'!$C$10:$D$63,2,FALSE)</f>
        <v>ND</v>
      </c>
      <c r="C37">
        <f>VLOOKUP($A37,'MF-226'!$A$2:$BV$53,C$1,FALSE)</f>
        <v>310104</v>
      </c>
      <c r="D37">
        <f>VLOOKUP($A37,'MF-226'!$A$2:$BV$53,D$1,FALSE)</f>
        <v>314378</v>
      </c>
      <c r="E37">
        <f>VLOOKUP($A37,'MF-226'!$A$2:$BV$53,E$1,FALSE)</f>
        <v>319969</v>
      </c>
      <c r="F37">
        <f>VLOOKUP($A37,'MF-226'!$A$2:$BV$53,F$1,FALSE)</f>
        <v>330012</v>
      </c>
      <c r="G37">
        <f>VLOOKUP($A37,'MF-226'!$A$2:$BV$53,G$1,FALSE)</f>
        <v>325376</v>
      </c>
      <c r="H37">
        <f>VLOOKUP($A37,'MF-226'!$A$2:$BV$53,H$1,FALSE)</f>
        <v>333073</v>
      </c>
      <c r="I37">
        <f>VLOOKUP($A37,'MF-226'!$A$2:$BV$53,I$1,FALSE)</f>
        <v>340626</v>
      </c>
      <c r="J37">
        <f>VLOOKUP($A37,'MF-226'!$A$2:$BV$53,J$1,FALSE)</f>
        <v>344000</v>
      </c>
      <c r="K37">
        <f>VLOOKUP($A37,'MF-226'!$A$2:$BV$53,K$1,FALSE)</f>
        <v>340591</v>
      </c>
      <c r="L37">
        <f>VLOOKUP($A37,'MF-226'!$A$2:$BV$53,L$1,FALSE)</f>
        <v>349453</v>
      </c>
      <c r="M37">
        <f>VLOOKUP($A37,'MF-226'!$A$2:$BV$53,M$1,FALSE)</f>
        <v>339587.98099999991</v>
      </c>
      <c r="N37">
        <f>VLOOKUP($A37,'MF-226'!$A$2:$BV$53,N$1,FALSE)</f>
        <v>334544</v>
      </c>
      <c r="O37">
        <f>VLOOKUP($A37,'MF-226'!$A$2:$BV$53,O$1,FALSE)</f>
        <v>336169</v>
      </c>
      <c r="P37">
        <f>VLOOKUP($A37,'MF-226'!$A$2:$BV$53,P$1,FALSE)</f>
        <v>341825</v>
      </c>
      <c r="Q37">
        <f>VLOOKUP($A37,'MF-226'!$A$2:$BV$53,Q$1,FALSE)</f>
        <v>330233</v>
      </c>
      <c r="R37">
        <f>VLOOKUP($A37,'MF-226'!$A$2:$BV$53,R$1,FALSE)</f>
        <v>334241</v>
      </c>
      <c r="S37">
        <f>VLOOKUP($A37,'MF-226'!$A$2:$BV$53,S$1,FALSE)</f>
        <v>316877</v>
      </c>
      <c r="T37">
        <f>VLOOKUP($A37,'MF-226'!$A$2:$BV$53,T$1,FALSE)</f>
        <v>328763</v>
      </c>
      <c r="U37">
        <f>VLOOKUP($A37,'MF-226'!$A$2:$BV$53,U$1,FALSE)</f>
        <v>337149</v>
      </c>
      <c r="V37">
        <f>VLOOKUP($A37,'MF-226'!$A$2:$BV$53,V$1,FALSE)</f>
        <v>348577</v>
      </c>
      <c r="W37">
        <f>VLOOKUP($A37,'MF-226'!$A$2:$BV$53,W$1,FALSE)</f>
        <v>371038</v>
      </c>
      <c r="X37">
        <f>VLOOKUP($A37,'MF-226'!$A$2:$BV$53,X$1,FALSE)</f>
        <v>394850</v>
      </c>
      <c r="Y37">
        <f>VLOOKUP($A37,'MF-226'!$A$2:$BV$53,Y$1,FALSE)</f>
        <v>419554</v>
      </c>
      <c r="Z37">
        <f>VLOOKUP($A37,'MF-226'!$A$2:$BV$53,Z$1,FALSE)</f>
        <v>432604</v>
      </c>
      <c r="AA37">
        <f>VLOOKUP($A37,'MF-226'!$A$2:$BV$53,AA$1,FALSE)</f>
        <v>465347</v>
      </c>
      <c r="AB37">
        <f>VLOOKUP($A37,'MF-226'!$A$2:$BV$53,AB$1,FALSE)</f>
        <v>433114</v>
      </c>
      <c r="AC37">
        <f>VLOOKUP($A37,'MF-226'!$A$2:$BV$53,AC$1,FALSE)</f>
        <v>408811</v>
      </c>
      <c r="AD37">
        <f>VLOOKUP($A37,'MF-226'!$A$2:$BV$53,AD$1,FALSE)</f>
        <v>402672</v>
      </c>
      <c r="AE37">
        <f>VLOOKUP($A37,'MF-226'!$A$2:$BV$53,AE$1,FALSE)</f>
        <v>404051</v>
      </c>
      <c r="AF37">
        <f>VLOOKUP($A37,'MF-226'!$A$2:$BV$53,AF$1,FALSE)</f>
        <v>411541</v>
      </c>
      <c r="AG37">
        <f>VLOOKUP($A37,'MF-226'!$A$2:$BV$53,AG$1,FALSE)</f>
        <v>362481</v>
      </c>
      <c r="AH37">
        <f>VLOOKUP($A37,'MF-226'!$A$2:$BV$53,AH$1,FALSE)</f>
        <v>384647</v>
      </c>
    </row>
    <row r="38" spans="1:34">
      <c r="A38" t="s">
        <v>33</v>
      </c>
      <c r="B38" t="str">
        <f>VLOOKUP(A38,'State Codes'!$C$10:$D$63,2,FALSE)</f>
        <v>OH</v>
      </c>
      <c r="C38">
        <f>VLOOKUP($A38,'MF-226'!$A$2:$BV$53,C$1,FALSE)</f>
        <v>4624942</v>
      </c>
      <c r="D38">
        <f>VLOOKUP($A38,'MF-226'!$A$2:$BV$53,D$1,FALSE)</f>
        <v>4573239</v>
      </c>
      <c r="E38">
        <f>VLOOKUP($A38,'MF-226'!$A$2:$BV$53,E$1,FALSE)</f>
        <v>4504696</v>
      </c>
      <c r="F38">
        <f>VLOOKUP($A38,'MF-226'!$A$2:$BV$53,F$1,FALSE)</f>
        <v>4794100</v>
      </c>
      <c r="G38">
        <f>VLOOKUP($A38,'MF-226'!$A$2:$BV$53,G$1,FALSE)</f>
        <v>4732145</v>
      </c>
      <c r="H38">
        <f>VLOOKUP($A38,'MF-226'!$A$2:$BV$53,H$1,FALSE)</f>
        <v>4797464</v>
      </c>
      <c r="I38">
        <f>VLOOKUP($A38,'MF-226'!$A$2:$BV$53,I$1,FALSE)</f>
        <v>4788108</v>
      </c>
      <c r="J38">
        <f>VLOOKUP($A38,'MF-226'!$A$2:$BV$53,J$1,FALSE)</f>
        <v>4847001</v>
      </c>
      <c r="K38">
        <f>VLOOKUP($A38,'MF-226'!$A$2:$BV$53,K$1,FALSE)</f>
        <v>4960354</v>
      </c>
      <c r="L38">
        <f>VLOOKUP($A38,'MF-226'!$A$2:$BV$53,L$1,FALSE)</f>
        <v>5068915</v>
      </c>
      <c r="M38">
        <f>VLOOKUP($A38,'MF-226'!$A$2:$BV$53,M$1,FALSE)</f>
        <v>5060358.2019999996</v>
      </c>
      <c r="N38">
        <f>VLOOKUP($A38,'MF-226'!$A$2:$BV$53,N$1,FALSE)</f>
        <v>5028276</v>
      </c>
      <c r="O38">
        <f>VLOOKUP($A38,'MF-226'!$A$2:$BV$53,O$1,FALSE)</f>
        <v>5093599</v>
      </c>
      <c r="P38">
        <f>VLOOKUP($A38,'MF-226'!$A$2:$BV$53,P$1,FALSE)</f>
        <v>5153371</v>
      </c>
      <c r="Q38">
        <f>VLOOKUP($A38,'MF-226'!$A$2:$BV$53,Q$1,FALSE)</f>
        <v>5120596</v>
      </c>
      <c r="R38">
        <f>VLOOKUP($A38,'MF-226'!$A$2:$BV$53,R$1,FALSE)</f>
        <v>5053460</v>
      </c>
      <c r="S38">
        <f>VLOOKUP($A38,'MF-226'!$A$2:$BV$53,S$1,FALSE)</f>
        <v>4969756</v>
      </c>
      <c r="T38">
        <f>VLOOKUP($A38,'MF-226'!$A$2:$BV$53,T$1,FALSE)</f>
        <v>4966280</v>
      </c>
      <c r="U38">
        <f>VLOOKUP($A38,'MF-226'!$A$2:$BV$53,U$1,FALSE)</f>
        <v>4945142</v>
      </c>
      <c r="V38">
        <f>VLOOKUP($A38,'MF-226'!$A$2:$BV$53,V$1,FALSE)</f>
        <v>4890709</v>
      </c>
      <c r="W38">
        <f>VLOOKUP($A38,'MF-226'!$A$2:$BV$53,W$1,FALSE)</f>
        <v>4952455</v>
      </c>
      <c r="X38">
        <f>VLOOKUP($A38,'MF-226'!$A$2:$BV$53,X$1,FALSE)</f>
        <v>4854761</v>
      </c>
      <c r="Y38">
        <f>VLOOKUP($A38,'MF-226'!$A$2:$BV$53,Y$1,FALSE)</f>
        <v>4824293</v>
      </c>
      <c r="Z38">
        <f>VLOOKUP($A38,'MF-226'!$A$2:$BV$53,Z$1,FALSE)</f>
        <v>4815395</v>
      </c>
      <c r="AA38">
        <f>VLOOKUP($A38,'MF-226'!$A$2:$BV$53,AA$1,FALSE)</f>
        <v>4998767</v>
      </c>
      <c r="AB38">
        <f>VLOOKUP($A38,'MF-226'!$A$2:$BV$53,AB$1,FALSE)</f>
        <v>4804289</v>
      </c>
      <c r="AC38">
        <f>VLOOKUP($A38,'MF-226'!$A$2:$BV$53,AC$1,FALSE)</f>
        <v>4869710</v>
      </c>
      <c r="AD38">
        <f>VLOOKUP($A38,'MF-226'!$A$2:$BV$53,AD$1,FALSE)</f>
        <v>4863364</v>
      </c>
      <c r="AE38">
        <f>VLOOKUP($A38,'MF-226'!$A$2:$BV$53,AE$1,FALSE)</f>
        <v>4804259</v>
      </c>
      <c r="AF38">
        <f>VLOOKUP($A38,'MF-226'!$A$2:$BV$53,AF$1,FALSE)</f>
        <v>4788084</v>
      </c>
      <c r="AG38">
        <f>VLOOKUP($A38,'MF-226'!$A$2:$BV$53,AG$1,FALSE)</f>
        <v>4137129</v>
      </c>
      <c r="AH38">
        <f>VLOOKUP($A38,'MF-226'!$A$2:$BV$53,AH$1,FALSE)</f>
        <v>4464007</v>
      </c>
    </row>
    <row r="39" spans="1:34">
      <c r="A39" t="s">
        <v>34</v>
      </c>
      <c r="B39" t="str">
        <f>VLOOKUP(A39,'State Codes'!$C$10:$D$63,2,FALSE)</f>
        <v>OK</v>
      </c>
      <c r="C39">
        <f>VLOOKUP($A39,'MF-226'!$A$2:$BV$53,C$1,FALSE)</f>
        <v>1602440</v>
      </c>
      <c r="D39">
        <f>VLOOKUP($A39,'MF-226'!$A$2:$BV$53,D$1,FALSE)</f>
        <v>1583077</v>
      </c>
      <c r="E39">
        <f>VLOOKUP($A39,'MF-226'!$A$2:$BV$53,E$1,FALSE)</f>
        <v>1655335</v>
      </c>
      <c r="F39">
        <f>VLOOKUP($A39,'MF-226'!$A$2:$BV$53,F$1,FALSE)</f>
        <v>1680750</v>
      </c>
      <c r="G39">
        <f>VLOOKUP($A39,'MF-226'!$A$2:$BV$53,G$1,FALSE)</f>
        <v>1709769</v>
      </c>
      <c r="H39">
        <f>VLOOKUP($A39,'MF-226'!$A$2:$BV$53,H$1,FALSE)</f>
        <v>1719873</v>
      </c>
      <c r="I39">
        <f>VLOOKUP($A39,'MF-226'!$A$2:$BV$53,I$1,FALSE)</f>
        <v>1785202</v>
      </c>
      <c r="J39">
        <f>VLOOKUP($A39,'MF-226'!$A$2:$BV$53,J$1,FALSE)</f>
        <v>1737963</v>
      </c>
      <c r="K39">
        <f>VLOOKUP($A39,'MF-226'!$A$2:$BV$53,K$1,FALSE)</f>
        <v>1762809</v>
      </c>
      <c r="L39">
        <f>VLOOKUP($A39,'MF-226'!$A$2:$BV$53,L$1,FALSE)</f>
        <v>1811741</v>
      </c>
      <c r="M39">
        <f>VLOOKUP($A39,'MF-226'!$A$2:$BV$53,M$1,FALSE)</f>
        <v>1749268.2620000003</v>
      </c>
      <c r="N39">
        <f>VLOOKUP($A39,'MF-226'!$A$2:$BV$53,N$1,FALSE)</f>
        <v>1751701</v>
      </c>
      <c r="O39">
        <f>VLOOKUP($A39,'MF-226'!$A$2:$BV$53,O$1,FALSE)</f>
        <v>1707873</v>
      </c>
      <c r="P39">
        <f>VLOOKUP($A39,'MF-226'!$A$2:$BV$53,P$1,FALSE)</f>
        <v>1762226</v>
      </c>
      <c r="Q39">
        <f>VLOOKUP($A39,'MF-226'!$A$2:$BV$53,Q$1,FALSE)</f>
        <v>1819300</v>
      </c>
      <c r="R39">
        <f>VLOOKUP($A39,'MF-226'!$A$2:$BV$53,R$1,FALSE)</f>
        <v>1790937</v>
      </c>
      <c r="S39">
        <f>VLOOKUP($A39,'MF-226'!$A$2:$BV$53,S$1,FALSE)</f>
        <v>1708552</v>
      </c>
      <c r="T39">
        <f>VLOOKUP($A39,'MF-226'!$A$2:$BV$53,T$1,FALSE)</f>
        <v>1786779</v>
      </c>
      <c r="U39">
        <f>VLOOKUP($A39,'MF-226'!$A$2:$BV$53,U$1,FALSE)</f>
        <v>1764509</v>
      </c>
      <c r="V39">
        <f>VLOOKUP($A39,'MF-226'!$A$2:$BV$53,V$1,FALSE)</f>
        <v>1754712</v>
      </c>
      <c r="W39">
        <f>VLOOKUP($A39,'MF-226'!$A$2:$BV$53,W$1,FALSE)</f>
        <v>1856007</v>
      </c>
      <c r="X39">
        <f>VLOOKUP($A39,'MF-226'!$A$2:$BV$53,X$1,FALSE)</f>
        <v>1755853</v>
      </c>
      <c r="Y39">
        <f>VLOOKUP($A39,'MF-226'!$A$2:$BV$53,Y$1,FALSE)</f>
        <v>1859439</v>
      </c>
      <c r="Z39">
        <f>VLOOKUP($A39,'MF-226'!$A$2:$BV$53,Z$1,FALSE)</f>
        <v>1798221</v>
      </c>
      <c r="AA39">
        <f>VLOOKUP($A39,'MF-226'!$A$2:$BV$53,AA$1,FALSE)</f>
        <v>1970501</v>
      </c>
      <c r="AB39">
        <f>VLOOKUP($A39,'MF-226'!$A$2:$BV$53,AB$1,FALSE)</f>
        <v>1794536</v>
      </c>
      <c r="AC39">
        <f>VLOOKUP($A39,'MF-226'!$A$2:$BV$53,AC$1,FALSE)</f>
        <v>1831666</v>
      </c>
      <c r="AD39">
        <f>VLOOKUP($A39,'MF-226'!$A$2:$BV$53,AD$1,FALSE)</f>
        <v>1782740</v>
      </c>
      <c r="AE39">
        <f>VLOOKUP($A39,'MF-226'!$A$2:$BV$53,AE$1,FALSE)</f>
        <v>1821895</v>
      </c>
      <c r="AF39">
        <f>VLOOKUP($A39,'MF-226'!$A$2:$BV$53,AF$1,FALSE)</f>
        <v>1815899</v>
      </c>
      <c r="AG39">
        <f>VLOOKUP($A39,'MF-226'!$A$2:$BV$53,AG$1,FALSE)</f>
        <v>1652166</v>
      </c>
      <c r="AH39">
        <f>VLOOKUP($A39,'MF-226'!$A$2:$BV$53,AH$1,FALSE)</f>
        <v>1772549</v>
      </c>
    </row>
    <row r="40" spans="1:34">
      <c r="A40" t="s">
        <v>102</v>
      </c>
      <c r="B40" t="str">
        <f>VLOOKUP(A40,'State Codes'!$C$10:$D$63,2,FALSE)</f>
        <v>OR</v>
      </c>
      <c r="C40">
        <f>VLOOKUP($A40,'MF-226'!$A$2:$BV$53,C$1,FALSE)</f>
        <v>1315692</v>
      </c>
      <c r="D40">
        <f>VLOOKUP($A40,'MF-226'!$A$2:$BV$53,D$1,FALSE)</f>
        <v>1321177</v>
      </c>
      <c r="E40">
        <f>VLOOKUP($A40,'MF-226'!$A$2:$BV$53,E$1,FALSE)</f>
        <v>1340350</v>
      </c>
      <c r="F40">
        <f>VLOOKUP($A40,'MF-226'!$A$2:$BV$53,F$1,FALSE)</f>
        <v>1395999</v>
      </c>
      <c r="G40">
        <f>VLOOKUP($A40,'MF-226'!$A$2:$BV$53,G$1,FALSE)</f>
        <v>1409091</v>
      </c>
      <c r="H40">
        <f>VLOOKUP($A40,'MF-226'!$A$2:$BV$53,H$1,FALSE)</f>
        <v>1397561</v>
      </c>
      <c r="I40">
        <f>VLOOKUP($A40,'MF-226'!$A$2:$BV$53,I$1,FALSE)</f>
        <v>1451246</v>
      </c>
      <c r="J40">
        <f>VLOOKUP($A40,'MF-226'!$A$2:$BV$53,J$1,FALSE)</f>
        <v>1384560</v>
      </c>
      <c r="K40">
        <f>VLOOKUP($A40,'MF-226'!$A$2:$BV$53,K$1,FALSE)</f>
        <v>1496448</v>
      </c>
      <c r="L40">
        <f>VLOOKUP($A40,'MF-226'!$A$2:$BV$53,L$1,FALSE)</f>
        <v>1525908</v>
      </c>
      <c r="M40">
        <f>VLOOKUP($A40,'MF-226'!$A$2:$BV$53,M$1,FALSE)</f>
        <v>1494985.5830000001</v>
      </c>
      <c r="N40">
        <f>VLOOKUP($A40,'MF-226'!$A$2:$BV$53,N$1,FALSE)</f>
        <v>1487269</v>
      </c>
      <c r="O40">
        <f>VLOOKUP($A40,'MF-226'!$A$2:$BV$53,O$1,FALSE)</f>
        <v>1514970</v>
      </c>
      <c r="P40">
        <f>VLOOKUP($A40,'MF-226'!$A$2:$BV$53,P$1,FALSE)</f>
        <v>1505004</v>
      </c>
      <c r="Q40">
        <f>VLOOKUP($A40,'MF-226'!$A$2:$BV$53,Q$1,FALSE)</f>
        <v>1499299</v>
      </c>
      <c r="R40">
        <f>VLOOKUP($A40,'MF-226'!$A$2:$BV$53,R$1,FALSE)</f>
        <v>1510803</v>
      </c>
      <c r="S40">
        <f>VLOOKUP($A40,'MF-226'!$A$2:$BV$53,S$1,FALSE)</f>
        <v>1509784</v>
      </c>
      <c r="T40">
        <f>VLOOKUP($A40,'MF-226'!$A$2:$BV$53,T$1,FALSE)</f>
        <v>1506178</v>
      </c>
      <c r="U40">
        <f>VLOOKUP($A40,'MF-226'!$A$2:$BV$53,U$1,FALSE)</f>
        <v>1458783</v>
      </c>
      <c r="V40">
        <f>VLOOKUP($A40,'MF-226'!$A$2:$BV$53,V$1,FALSE)</f>
        <v>1490589</v>
      </c>
      <c r="W40">
        <f>VLOOKUP($A40,'MF-226'!$A$2:$BV$53,W$1,FALSE)</f>
        <v>1483201</v>
      </c>
      <c r="X40">
        <f>VLOOKUP($A40,'MF-226'!$A$2:$BV$53,X$1,FALSE)</f>
        <v>1435758</v>
      </c>
      <c r="Y40">
        <f>VLOOKUP($A40,'MF-226'!$A$2:$BV$53,Y$1,FALSE)</f>
        <v>1423436</v>
      </c>
      <c r="Z40">
        <f>VLOOKUP($A40,'MF-226'!$A$2:$BV$53,Z$1,FALSE)</f>
        <v>1419623</v>
      </c>
      <c r="AA40">
        <f>VLOOKUP($A40,'MF-226'!$A$2:$BV$53,AA$1,FALSE)</f>
        <v>1487796</v>
      </c>
      <c r="AB40">
        <f>VLOOKUP($A40,'MF-226'!$A$2:$BV$53,AB$1,FALSE)</f>
        <v>1448883</v>
      </c>
      <c r="AC40">
        <f>VLOOKUP($A40,'MF-226'!$A$2:$BV$53,AC$1,FALSE)</f>
        <v>1500721</v>
      </c>
      <c r="AD40">
        <f>VLOOKUP($A40,'MF-226'!$A$2:$BV$53,AD$1,FALSE)</f>
        <v>1528634</v>
      </c>
      <c r="AE40">
        <f>VLOOKUP($A40,'MF-226'!$A$2:$BV$53,AE$1,FALSE)</f>
        <v>1528662</v>
      </c>
      <c r="AF40">
        <f>VLOOKUP($A40,'MF-226'!$A$2:$BV$53,AF$1,FALSE)</f>
        <v>1506779</v>
      </c>
      <c r="AG40">
        <f>VLOOKUP($A40,'MF-226'!$A$2:$BV$53,AG$1,FALSE)</f>
        <v>1298382</v>
      </c>
      <c r="AH40">
        <f>VLOOKUP($A40,'MF-226'!$A$2:$BV$53,AH$1,FALSE)</f>
        <v>1416896</v>
      </c>
    </row>
    <row r="41" spans="1:34">
      <c r="A41" t="s">
        <v>35</v>
      </c>
      <c r="B41" t="str">
        <f>VLOOKUP(A41,'State Codes'!$C$10:$D$63,2,FALSE)</f>
        <v>PA</v>
      </c>
      <c r="C41">
        <f>VLOOKUP($A41,'MF-226'!$A$2:$BV$53,C$1,FALSE)</f>
        <v>4505001</v>
      </c>
      <c r="D41">
        <f>VLOOKUP($A41,'MF-226'!$A$2:$BV$53,D$1,FALSE)</f>
        <v>4458592</v>
      </c>
      <c r="E41">
        <f>VLOOKUP($A41,'MF-226'!$A$2:$BV$53,E$1,FALSE)</f>
        <v>4527647</v>
      </c>
      <c r="F41">
        <f>VLOOKUP($A41,'MF-226'!$A$2:$BV$53,F$1,FALSE)</f>
        <v>4620582</v>
      </c>
      <c r="G41">
        <f>VLOOKUP($A41,'MF-226'!$A$2:$BV$53,G$1,FALSE)</f>
        <v>4610646</v>
      </c>
      <c r="H41">
        <f>VLOOKUP($A41,'MF-226'!$A$2:$BV$53,H$1,FALSE)</f>
        <v>4668698</v>
      </c>
      <c r="I41">
        <f>VLOOKUP($A41,'MF-226'!$A$2:$BV$53,I$1,FALSE)</f>
        <v>4752148</v>
      </c>
      <c r="J41">
        <f>VLOOKUP($A41,'MF-226'!$A$2:$BV$53,J$1,FALSE)</f>
        <v>4791863</v>
      </c>
      <c r="K41">
        <f>VLOOKUP($A41,'MF-226'!$A$2:$BV$53,K$1,FALSE)</f>
        <v>4851206</v>
      </c>
      <c r="L41">
        <f>VLOOKUP($A41,'MF-226'!$A$2:$BV$53,L$1,FALSE)</f>
        <v>4946723</v>
      </c>
      <c r="M41">
        <f>VLOOKUP($A41,'MF-226'!$A$2:$BV$53,M$1,FALSE)</f>
        <v>4948283.0130000003</v>
      </c>
      <c r="N41">
        <f>VLOOKUP($A41,'MF-226'!$A$2:$BV$53,N$1,FALSE)</f>
        <v>5024671</v>
      </c>
      <c r="O41">
        <f>VLOOKUP($A41,'MF-226'!$A$2:$BV$53,O$1,FALSE)</f>
        <v>5114345</v>
      </c>
      <c r="P41">
        <f>VLOOKUP($A41,'MF-226'!$A$2:$BV$53,P$1,FALSE)</f>
        <v>5122303</v>
      </c>
      <c r="Q41">
        <f>VLOOKUP($A41,'MF-226'!$A$2:$BV$53,Q$1,FALSE)</f>
        <v>5155916</v>
      </c>
      <c r="R41">
        <f>VLOOKUP($A41,'MF-226'!$A$2:$BV$53,R$1,FALSE)</f>
        <v>5060977</v>
      </c>
      <c r="S41">
        <f>VLOOKUP($A41,'MF-226'!$A$2:$BV$53,S$1,FALSE)</f>
        <v>4946216</v>
      </c>
      <c r="T41">
        <f>VLOOKUP($A41,'MF-226'!$A$2:$BV$53,T$1,FALSE)</f>
        <v>5007407</v>
      </c>
      <c r="U41">
        <f>VLOOKUP($A41,'MF-226'!$A$2:$BV$53,U$1,FALSE)</f>
        <v>4937175</v>
      </c>
      <c r="V41">
        <f>VLOOKUP($A41,'MF-226'!$A$2:$BV$53,V$1,FALSE)</f>
        <v>5007681</v>
      </c>
      <c r="W41">
        <f>VLOOKUP($A41,'MF-226'!$A$2:$BV$53,W$1,FALSE)</f>
        <v>5021446</v>
      </c>
      <c r="X41">
        <f>VLOOKUP($A41,'MF-226'!$A$2:$BV$53,X$1,FALSE)</f>
        <v>4973428</v>
      </c>
      <c r="Y41">
        <f>VLOOKUP($A41,'MF-226'!$A$2:$BV$53,Y$1,FALSE)</f>
        <v>4896324</v>
      </c>
      <c r="Z41">
        <f>VLOOKUP($A41,'MF-226'!$A$2:$BV$53,Z$1,FALSE)</f>
        <v>4867977</v>
      </c>
      <c r="AA41">
        <f>VLOOKUP($A41,'MF-226'!$A$2:$BV$53,AA$1,FALSE)</f>
        <v>4940851</v>
      </c>
      <c r="AB41">
        <f>VLOOKUP($A41,'MF-226'!$A$2:$BV$53,AB$1,FALSE)</f>
        <v>4641448</v>
      </c>
      <c r="AC41">
        <f>VLOOKUP($A41,'MF-226'!$A$2:$BV$53,AC$1,FALSE)</f>
        <v>4728554</v>
      </c>
      <c r="AD41">
        <f>VLOOKUP($A41,'MF-226'!$A$2:$BV$53,AD$1,FALSE)</f>
        <v>4765273</v>
      </c>
      <c r="AE41">
        <f>VLOOKUP($A41,'MF-226'!$A$2:$BV$53,AE$1,FALSE)</f>
        <v>4619623</v>
      </c>
      <c r="AF41">
        <f>VLOOKUP($A41,'MF-226'!$A$2:$BV$53,AF$1,FALSE)</f>
        <v>4679656</v>
      </c>
      <c r="AG41">
        <f>VLOOKUP($A41,'MF-226'!$A$2:$BV$53,AG$1,FALSE)</f>
        <v>3973442</v>
      </c>
      <c r="AH41">
        <f>VLOOKUP($A41,'MF-226'!$A$2:$BV$53,AH$1,FALSE)</f>
        <v>4341255</v>
      </c>
    </row>
    <row r="42" spans="1:34">
      <c r="A42" t="s">
        <v>36</v>
      </c>
      <c r="B42" t="str">
        <f>VLOOKUP(A42,'State Codes'!$C$10:$D$63,2,FALSE)</f>
        <v>RI</v>
      </c>
      <c r="C42">
        <f>VLOOKUP($A42,'MF-226'!$A$2:$BV$53,C$1,FALSE)</f>
        <v>360748</v>
      </c>
      <c r="D42">
        <f>VLOOKUP($A42,'MF-226'!$A$2:$BV$53,D$1,FALSE)</f>
        <v>353938</v>
      </c>
      <c r="E42">
        <f>VLOOKUP($A42,'MF-226'!$A$2:$BV$53,E$1,FALSE)</f>
        <v>364295</v>
      </c>
      <c r="F42">
        <f>VLOOKUP($A42,'MF-226'!$A$2:$BV$53,F$1,FALSE)</f>
        <v>373110</v>
      </c>
      <c r="G42">
        <f>VLOOKUP($A42,'MF-226'!$A$2:$BV$53,G$1,FALSE)</f>
        <v>362921</v>
      </c>
      <c r="H42">
        <f>VLOOKUP($A42,'MF-226'!$A$2:$BV$53,H$1,FALSE)</f>
        <v>370256</v>
      </c>
      <c r="I42">
        <f>VLOOKUP($A42,'MF-226'!$A$2:$BV$53,I$1,FALSE)</f>
        <v>376228</v>
      </c>
      <c r="J42">
        <f>VLOOKUP($A42,'MF-226'!$A$2:$BV$53,J$1,FALSE)</f>
        <v>384052</v>
      </c>
      <c r="K42">
        <f>VLOOKUP($A42,'MF-226'!$A$2:$BV$53,K$1,FALSE)</f>
        <v>392399</v>
      </c>
      <c r="L42">
        <f>VLOOKUP($A42,'MF-226'!$A$2:$BV$53,L$1,FALSE)</f>
        <v>404530</v>
      </c>
      <c r="M42">
        <f>VLOOKUP($A42,'MF-226'!$A$2:$BV$53,M$1,FALSE)</f>
        <v>396484.68900000001</v>
      </c>
      <c r="N42">
        <f>VLOOKUP($A42,'MF-226'!$A$2:$BV$53,N$1,FALSE)</f>
        <v>399113</v>
      </c>
      <c r="O42">
        <f>VLOOKUP($A42,'MF-226'!$A$2:$BV$53,O$1,FALSE)</f>
        <v>389921</v>
      </c>
      <c r="P42">
        <f>VLOOKUP($A42,'MF-226'!$A$2:$BV$53,P$1,FALSE)</f>
        <v>392650</v>
      </c>
      <c r="Q42">
        <f>VLOOKUP($A42,'MF-226'!$A$2:$BV$53,Q$1,FALSE)</f>
        <v>376088</v>
      </c>
      <c r="R42">
        <f>VLOOKUP($A42,'MF-226'!$A$2:$BV$53,R$1,FALSE)</f>
        <v>376088</v>
      </c>
      <c r="S42">
        <f>VLOOKUP($A42,'MF-226'!$A$2:$BV$53,S$1,FALSE)</f>
        <v>396707</v>
      </c>
      <c r="T42">
        <f>VLOOKUP($A42,'MF-226'!$A$2:$BV$53,T$1,FALSE)</f>
        <v>389070</v>
      </c>
      <c r="U42">
        <f>VLOOKUP($A42,'MF-226'!$A$2:$BV$53,U$1,FALSE)</f>
        <v>393963</v>
      </c>
      <c r="V42">
        <f>VLOOKUP($A42,'MF-226'!$A$2:$BV$53,V$1,FALSE)</f>
        <v>381644</v>
      </c>
      <c r="W42">
        <f>VLOOKUP($A42,'MF-226'!$A$2:$BV$53,W$1,FALSE)</f>
        <v>383501</v>
      </c>
      <c r="X42">
        <f>VLOOKUP($A42,'MF-226'!$A$2:$BV$53,X$1,FALSE)</f>
        <v>364057</v>
      </c>
      <c r="Y42">
        <f>VLOOKUP($A42,'MF-226'!$A$2:$BV$53,Y$1,FALSE)</f>
        <v>354491</v>
      </c>
      <c r="Z42">
        <f>VLOOKUP($A42,'MF-226'!$A$2:$BV$53,Z$1,FALSE)</f>
        <v>352265</v>
      </c>
      <c r="AA42">
        <f>VLOOKUP($A42,'MF-226'!$A$2:$BV$53,AA$1,FALSE)</f>
        <v>366174</v>
      </c>
      <c r="AB42">
        <f>VLOOKUP($A42,'MF-226'!$A$2:$BV$53,AB$1,FALSE)</f>
        <v>359531</v>
      </c>
      <c r="AC42">
        <f>VLOOKUP($A42,'MF-226'!$A$2:$BV$53,AC$1,FALSE)</f>
        <v>354875</v>
      </c>
      <c r="AD42">
        <f>VLOOKUP($A42,'MF-226'!$A$2:$BV$53,AD$1,FALSE)</f>
        <v>353657</v>
      </c>
      <c r="AE42">
        <f>VLOOKUP($A42,'MF-226'!$A$2:$BV$53,AE$1,FALSE)</f>
        <v>370134</v>
      </c>
      <c r="AF42">
        <f>VLOOKUP($A42,'MF-226'!$A$2:$BV$53,AF$1,FALSE)</f>
        <v>366451</v>
      </c>
      <c r="AG42">
        <f>VLOOKUP($A42,'MF-226'!$A$2:$BV$53,AG$1,FALSE)</f>
        <v>304203</v>
      </c>
      <c r="AH42">
        <f>VLOOKUP($A42,'MF-226'!$A$2:$BV$53,AH$1,FALSE)</f>
        <v>331956</v>
      </c>
    </row>
    <row r="43" spans="1:34">
      <c r="A43" t="s">
        <v>37</v>
      </c>
      <c r="B43" t="str">
        <f>VLOOKUP(A43,'State Codes'!$C$10:$D$63,2,FALSE)</f>
        <v>SC</v>
      </c>
      <c r="C43">
        <f>VLOOKUP($A43,'MF-226'!$A$2:$BV$53,C$1,FALSE)</f>
        <v>1766652</v>
      </c>
      <c r="D43">
        <f>VLOOKUP($A43,'MF-226'!$A$2:$BV$53,D$1,FALSE)</f>
        <v>1715726</v>
      </c>
      <c r="E43">
        <f>VLOOKUP($A43,'MF-226'!$A$2:$BV$53,E$1,FALSE)</f>
        <v>1782673</v>
      </c>
      <c r="F43">
        <f>VLOOKUP($A43,'MF-226'!$A$2:$BV$53,F$1,FALSE)</f>
        <v>1884415</v>
      </c>
      <c r="G43">
        <f>VLOOKUP($A43,'MF-226'!$A$2:$BV$53,G$1,FALSE)</f>
        <v>1892959</v>
      </c>
      <c r="H43">
        <f>VLOOKUP($A43,'MF-226'!$A$2:$BV$53,H$1,FALSE)</f>
        <v>1941678</v>
      </c>
      <c r="I43">
        <f>VLOOKUP($A43,'MF-226'!$A$2:$BV$53,I$1,FALSE)</f>
        <v>1969738</v>
      </c>
      <c r="J43">
        <f>VLOOKUP($A43,'MF-226'!$A$2:$BV$53,J$1,FALSE)</f>
        <v>2055233</v>
      </c>
      <c r="K43">
        <f>VLOOKUP($A43,'MF-226'!$A$2:$BV$53,K$1,FALSE)</f>
        <v>2130119</v>
      </c>
      <c r="L43">
        <f>VLOOKUP($A43,'MF-226'!$A$2:$BV$53,L$1,FALSE)</f>
        <v>2213438</v>
      </c>
      <c r="M43">
        <f>VLOOKUP($A43,'MF-226'!$A$2:$BV$53,M$1,FALSE)</f>
        <v>2211716.6830000002</v>
      </c>
      <c r="N43">
        <f>VLOOKUP($A43,'MF-226'!$A$2:$BV$53,N$1,FALSE)</f>
        <v>2217141</v>
      </c>
      <c r="O43">
        <f>VLOOKUP($A43,'MF-226'!$A$2:$BV$53,O$1,FALSE)</f>
        <v>2269954</v>
      </c>
      <c r="P43">
        <f>VLOOKUP($A43,'MF-226'!$A$2:$BV$53,P$1,FALSE)</f>
        <v>2307855</v>
      </c>
      <c r="Q43">
        <f>VLOOKUP($A43,'MF-226'!$A$2:$BV$53,Q$1,FALSE)</f>
        <v>2530071</v>
      </c>
      <c r="R43">
        <f>VLOOKUP($A43,'MF-226'!$A$2:$BV$53,R$1,FALSE)</f>
        <v>2394662</v>
      </c>
      <c r="S43">
        <f>VLOOKUP($A43,'MF-226'!$A$2:$BV$53,S$1,FALSE)</f>
        <v>2466168</v>
      </c>
      <c r="T43">
        <f>VLOOKUP($A43,'MF-226'!$A$2:$BV$53,T$1,FALSE)</f>
        <v>2451093</v>
      </c>
      <c r="U43">
        <f>VLOOKUP($A43,'MF-226'!$A$2:$BV$53,U$1,FALSE)</f>
        <v>2497091</v>
      </c>
      <c r="V43">
        <f>VLOOKUP($A43,'MF-226'!$A$2:$BV$53,V$1,FALSE)</f>
        <v>2641882</v>
      </c>
      <c r="W43">
        <f>VLOOKUP($A43,'MF-226'!$A$2:$BV$53,W$1,FALSE)</f>
        <v>2574404</v>
      </c>
      <c r="X43">
        <f>VLOOKUP($A43,'MF-226'!$A$2:$BV$53,X$1,FALSE)</f>
        <v>2521079</v>
      </c>
      <c r="Y43">
        <f>VLOOKUP($A43,'MF-226'!$A$2:$BV$53,Y$1,FALSE)</f>
        <v>2575046</v>
      </c>
      <c r="Z43">
        <f>VLOOKUP($A43,'MF-226'!$A$2:$BV$53,Z$1,FALSE)</f>
        <v>2596930</v>
      </c>
      <c r="AA43">
        <f>VLOOKUP($A43,'MF-226'!$A$2:$BV$53,AA$1,FALSE)</f>
        <v>2644467</v>
      </c>
      <c r="AB43">
        <f>VLOOKUP($A43,'MF-226'!$A$2:$BV$53,AB$1,FALSE)</f>
        <v>2631987.0029479703</v>
      </c>
      <c r="AC43">
        <f>VLOOKUP($A43,'MF-226'!$A$2:$BV$53,AC$1,FALSE)</f>
        <v>2677649</v>
      </c>
      <c r="AD43">
        <f>VLOOKUP($A43,'MF-226'!$A$2:$BV$53,AD$1,FALSE)</f>
        <v>2697536</v>
      </c>
      <c r="AE43">
        <f>VLOOKUP($A43,'MF-226'!$A$2:$BV$53,AE$1,FALSE)</f>
        <v>2646947</v>
      </c>
      <c r="AF43">
        <f>VLOOKUP($A43,'MF-226'!$A$2:$BV$53,AF$1,FALSE)</f>
        <v>2669735</v>
      </c>
      <c r="AG43">
        <f>VLOOKUP($A43,'MF-226'!$A$2:$BV$53,AG$1,FALSE)</f>
        <v>2343003</v>
      </c>
      <c r="AH43">
        <f>VLOOKUP($A43,'MF-226'!$A$2:$BV$53,AH$1,FALSE)</f>
        <v>2567636</v>
      </c>
    </row>
    <row r="44" spans="1:34">
      <c r="A44" t="s">
        <v>38</v>
      </c>
      <c r="B44" t="str">
        <f>VLOOKUP(A44,'State Codes'!$C$10:$D$63,2,FALSE)</f>
        <v>SD</v>
      </c>
      <c r="C44">
        <f>VLOOKUP($A44,'MF-226'!$A$2:$BV$53,C$1,FALSE)</f>
        <v>358187</v>
      </c>
      <c r="D44">
        <f>VLOOKUP($A44,'MF-226'!$A$2:$BV$53,D$1,FALSE)</f>
        <v>361926</v>
      </c>
      <c r="E44">
        <f>VLOOKUP($A44,'MF-226'!$A$2:$BV$53,E$1,FALSE)</f>
        <v>379556</v>
      </c>
      <c r="F44">
        <f>VLOOKUP($A44,'MF-226'!$A$2:$BV$53,F$1,FALSE)</f>
        <v>381557</v>
      </c>
      <c r="G44">
        <f>VLOOKUP($A44,'MF-226'!$A$2:$BV$53,G$1,FALSE)</f>
        <v>396961</v>
      </c>
      <c r="H44">
        <f>VLOOKUP($A44,'MF-226'!$A$2:$BV$53,H$1,FALSE)</f>
        <v>395581</v>
      </c>
      <c r="I44">
        <f>VLOOKUP($A44,'MF-226'!$A$2:$BV$53,I$1,FALSE)</f>
        <v>403685</v>
      </c>
      <c r="J44">
        <f>VLOOKUP($A44,'MF-226'!$A$2:$BV$53,J$1,FALSE)</f>
        <v>403356</v>
      </c>
      <c r="K44">
        <f>VLOOKUP($A44,'MF-226'!$A$2:$BV$53,K$1,FALSE)</f>
        <v>422492</v>
      </c>
      <c r="L44">
        <f>VLOOKUP($A44,'MF-226'!$A$2:$BV$53,L$1,FALSE)</f>
        <v>418430</v>
      </c>
      <c r="M44">
        <f>VLOOKUP($A44,'MF-226'!$A$2:$BV$53,M$1,FALSE)</f>
        <v>415460.61300000001</v>
      </c>
      <c r="N44">
        <f>VLOOKUP($A44,'MF-226'!$A$2:$BV$53,N$1,FALSE)</f>
        <v>402472</v>
      </c>
      <c r="O44">
        <f>VLOOKUP($A44,'MF-226'!$A$2:$BV$53,O$1,FALSE)</f>
        <v>418671</v>
      </c>
      <c r="P44">
        <f>VLOOKUP($A44,'MF-226'!$A$2:$BV$53,P$1,FALSE)</f>
        <v>406051</v>
      </c>
      <c r="Q44">
        <f>VLOOKUP($A44,'MF-226'!$A$2:$BV$53,Q$1,FALSE)</f>
        <v>400765</v>
      </c>
      <c r="R44">
        <f>VLOOKUP($A44,'MF-226'!$A$2:$BV$53,R$1,FALSE)</f>
        <v>392059</v>
      </c>
      <c r="S44">
        <f>VLOOKUP($A44,'MF-226'!$A$2:$BV$53,S$1,FALSE)</f>
        <v>383126</v>
      </c>
      <c r="T44">
        <f>VLOOKUP($A44,'MF-226'!$A$2:$BV$53,T$1,FALSE)</f>
        <v>398681</v>
      </c>
      <c r="U44">
        <f>VLOOKUP($A44,'MF-226'!$A$2:$BV$53,U$1,FALSE)</f>
        <v>395566</v>
      </c>
      <c r="V44">
        <f>VLOOKUP($A44,'MF-226'!$A$2:$BV$53,V$1,FALSE)</f>
        <v>426431</v>
      </c>
      <c r="W44">
        <f>VLOOKUP($A44,'MF-226'!$A$2:$BV$53,W$1,FALSE)</f>
        <v>425682</v>
      </c>
      <c r="X44">
        <f>VLOOKUP($A44,'MF-226'!$A$2:$BV$53,X$1,FALSE)</f>
        <v>430264</v>
      </c>
      <c r="Y44">
        <f>VLOOKUP($A44,'MF-226'!$A$2:$BV$53,Y$1,FALSE)</f>
        <v>438532</v>
      </c>
      <c r="Z44">
        <f>VLOOKUP($A44,'MF-226'!$A$2:$BV$53,Z$1,FALSE)</f>
        <v>424964</v>
      </c>
      <c r="AA44">
        <f>VLOOKUP($A44,'MF-226'!$A$2:$BV$53,AA$1,FALSE)</f>
        <v>454382</v>
      </c>
      <c r="AB44">
        <f>VLOOKUP($A44,'MF-226'!$A$2:$BV$53,AB$1,FALSE)</f>
        <v>435823</v>
      </c>
      <c r="AC44">
        <f>VLOOKUP($A44,'MF-226'!$A$2:$BV$53,AC$1,FALSE)</f>
        <v>453878</v>
      </c>
      <c r="AD44">
        <f>VLOOKUP($A44,'MF-226'!$A$2:$BV$53,AD$1,FALSE)</f>
        <v>447820</v>
      </c>
      <c r="AE44">
        <f>VLOOKUP($A44,'MF-226'!$A$2:$BV$53,AE$1,FALSE)</f>
        <v>445813</v>
      </c>
      <c r="AF44">
        <f>VLOOKUP($A44,'MF-226'!$A$2:$BV$53,AF$1,FALSE)</f>
        <v>435583</v>
      </c>
      <c r="AG44">
        <f>VLOOKUP($A44,'MF-226'!$A$2:$BV$53,AG$1,FALSE)</f>
        <v>422257</v>
      </c>
      <c r="AH44">
        <f>VLOOKUP($A44,'MF-226'!$A$2:$BV$53,AH$1,FALSE)</f>
        <v>466715</v>
      </c>
    </row>
    <row r="45" spans="1:34">
      <c r="A45" t="s">
        <v>39</v>
      </c>
      <c r="B45" t="str">
        <f>VLOOKUP(A45,'State Codes'!$C$10:$D$63,2,FALSE)</f>
        <v>TN</v>
      </c>
      <c r="C45">
        <f>VLOOKUP($A45,'MF-226'!$A$2:$BV$53,C$1,FALSE)</f>
        <v>2418720</v>
      </c>
      <c r="D45">
        <f>VLOOKUP($A45,'MF-226'!$A$2:$BV$53,D$1,FALSE)</f>
        <v>2321430</v>
      </c>
      <c r="E45">
        <f>VLOOKUP($A45,'MF-226'!$A$2:$BV$53,E$1,FALSE)</f>
        <v>2457839</v>
      </c>
      <c r="F45">
        <f>VLOOKUP($A45,'MF-226'!$A$2:$BV$53,F$1,FALSE)</f>
        <v>2548678</v>
      </c>
      <c r="G45">
        <f>VLOOKUP($A45,'MF-226'!$A$2:$BV$53,G$1,FALSE)</f>
        <v>2627829</v>
      </c>
      <c r="H45">
        <f>VLOOKUP($A45,'MF-226'!$A$2:$BV$53,H$1,FALSE)</f>
        <v>2669902</v>
      </c>
      <c r="I45">
        <f>VLOOKUP($A45,'MF-226'!$A$2:$BV$53,I$1,FALSE)</f>
        <v>2683524</v>
      </c>
      <c r="J45">
        <f>VLOOKUP($A45,'MF-226'!$A$2:$BV$53,J$1,FALSE)</f>
        <v>2736172</v>
      </c>
      <c r="K45">
        <f>VLOOKUP($A45,'MF-226'!$A$2:$BV$53,K$1,FALSE)</f>
        <v>2805557</v>
      </c>
      <c r="L45">
        <f>VLOOKUP($A45,'MF-226'!$A$2:$BV$53,L$1,FALSE)</f>
        <v>2923280</v>
      </c>
      <c r="M45">
        <f>VLOOKUP($A45,'MF-226'!$A$2:$BV$53,M$1,FALSE)</f>
        <v>2868431.193</v>
      </c>
      <c r="N45">
        <f>VLOOKUP($A45,'MF-226'!$A$2:$BV$53,N$1,FALSE)</f>
        <v>2837567</v>
      </c>
      <c r="O45">
        <f>VLOOKUP($A45,'MF-226'!$A$2:$BV$53,O$1,FALSE)</f>
        <v>2988611</v>
      </c>
      <c r="P45">
        <f>VLOOKUP($A45,'MF-226'!$A$2:$BV$53,P$1,FALSE)</f>
        <v>3023341</v>
      </c>
      <c r="Q45">
        <f>VLOOKUP($A45,'MF-226'!$A$2:$BV$53,Q$1,FALSE)</f>
        <v>3007782</v>
      </c>
      <c r="R45">
        <f>VLOOKUP($A45,'MF-226'!$A$2:$BV$53,R$1,FALSE)</f>
        <v>3026967</v>
      </c>
      <c r="S45">
        <f>VLOOKUP($A45,'MF-226'!$A$2:$BV$53,S$1,FALSE)</f>
        <v>3008172</v>
      </c>
      <c r="T45">
        <f>VLOOKUP($A45,'MF-226'!$A$2:$BV$53,T$1,FALSE)</f>
        <v>3028297</v>
      </c>
      <c r="U45">
        <f>VLOOKUP($A45,'MF-226'!$A$2:$BV$53,U$1,FALSE)</f>
        <v>2981939</v>
      </c>
      <c r="V45">
        <f>VLOOKUP($A45,'MF-226'!$A$2:$BV$53,V$1,FALSE)</f>
        <v>3069498</v>
      </c>
      <c r="W45">
        <f>VLOOKUP($A45,'MF-226'!$A$2:$BV$53,W$1,FALSE)</f>
        <v>3147249</v>
      </c>
      <c r="X45">
        <f>VLOOKUP($A45,'MF-226'!$A$2:$BV$53,X$1,FALSE)</f>
        <v>3127071</v>
      </c>
      <c r="Y45">
        <f>VLOOKUP($A45,'MF-226'!$A$2:$BV$53,Y$1,FALSE)</f>
        <v>3074272</v>
      </c>
      <c r="Z45">
        <f>VLOOKUP($A45,'MF-226'!$A$2:$BV$53,Z$1,FALSE)</f>
        <v>3074564</v>
      </c>
      <c r="AA45">
        <f>VLOOKUP($A45,'MF-226'!$A$2:$BV$53,AA$1,FALSE)</f>
        <v>3225836</v>
      </c>
      <c r="AB45">
        <f>VLOOKUP($A45,'MF-226'!$A$2:$BV$53,AB$1,FALSE)</f>
        <v>3061397</v>
      </c>
      <c r="AC45">
        <f>VLOOKUP($A45,'MF-226'!$A$2:$BV$53,AC$1,FALSE)</f>
        <v>3262875</v>
      </c>
      <c r="AD45">
        <f>VLOOKUP($A45,'MF-226'!$A$2:$BV$53,AD$1,FALSE)</f>
        <v>3273070</v>
      </c>
      <c r="AE45">
        <f>VLOOKUP($A45,'MF-226'!$A$2:$BV$53,AE$1,FALSE)</f>
        <v>3210705</v>
      </c>
      <c r="AF45">
        <f>VLOOKUP($A45,'MF-226'!$A$2:$BV$53,AF$1,FALSE)</f>
        <v>3278392</v>
      </c>
      <c r="AG45">
        <f>VLOOKUP($A45,'MF-226'!$A$2:$BV$53,AG$1,FALSE)</f>
        <v>2986014</v>
      </c>
      <c r="AH45">
        <f>VLOOKUP($A45,'MF-226'!$A$2:$BV$53,AH$1,FALSE)</f>
        <v>3221978</v>
      </c>
    </row>
    <row r="46" spans="1:34">
      <c r="A46" t="s">
        <v>40</v>
      </c>
      <c r="B46" t="str">
        <f>VLOOKUP(A46,'State Codes'!$C$10:$D$63,2,FALSE)</f>
        <v>TX</v>
      </c>
      <c r="C46">
        <f>VLOOKUP($A46,'MF-226'!$A$2:$BV$53,C$1,FALSE)</f>
        <v>8452733</v>
      </c>
      <c r="D46">
        <f>VLOOKUP($A46,'MF-226'!$A$2:$BV$53,D$1,FALSE)</f>
        <v>8117110</v>
      </c>
      <c r="E46">
        <f>VLOOKUP($A46,'MF-226'!$A$2:$BV$53,E$1,FALSE)</f>
        <v>8320889</v>
      </c>
      <c r="F46">
        <f>VLOOKUP($A46,'MF-226'!$A$2:$BV$53,F$1,FALSE)</f>
        <v>8638601</v>
      </c>
      <c r="G46">
        <f>VLOOKUP($A46,'MF-226'!$A$2:$BV$53,G$1,FALSE)</f>
        <v>9120113</v>
      </c>
      <c r="H46">
        <f>VLOOKUP($A46,'MF-226'!$A$2:$BV$53,H$1,FALSE)</f>
        <v>8770076</v>
      </c>
      <c r="I46">
        <f>VLOOKUP($A46,'MF-226'!$A$2:$BV$53,I$1,FALSE)</f>
        <v>9358859</v>
      </c>
      <c r="J46">
        <f>VLOOKUP($A46,'MF-226'!$A$2:$BV$53,J$1,FALSE)</f>
        <v>9295508</v>
      </c>
      <c r="K46">
        <f>VLOOKUP($A46,'MF-226'!$A$2:$BV$53,K$1,FALSE)</f>
        <v>9759340</v>
      </c>
      <c r="L46">
        <f>VLOOKUP($A46,'MF-226'!$A$2:$BV$53,L$1,FALSE)</f>
        <v>10198884</v>
      </c>
      <c r="M46">
        <f>VLOOKUP($A46,'MF-226'!$A$2:$BV$53,M$1,FALSE)</f>
        <v>10428048.758000001</v>
      </c>
      <c r="N46">
        <f>VLOOKUP($A46,'MF-226'!$A$2:$BV$53,N$1,FALSE)</f>
        <v>10637488</v>
      </c>
      <c r="O46">
        <f>VLOOKUP($A46,'MF-226'!$A$2:$BV$53,O$1,FALSE)</f>
        <v>11115753</v>
      </c>
      <c r="P46">
        <f>VLOOKUP($A46,'MF-226'!$A$2:$BV$53,P$1,FALSE)</f>
        <v>11199718</v>
      </c>
      <c r="Q46">
        <f>VLOOKUP($A46,'MF-226'!$A$2:$BV$53,Q$1,FALSE)</f>
        <v>11346013</v>
      </c>
      <c r="R46">
        <f>VLOOKUP($A46,'MF-226'!$A$2:$BV$53,R$1,FALSE)</f>
        <v>11325869</v>
      </c>
      <c r="S46">
        <f>VLOOKUP($A46,'MF-226'!$A$2:$BV$53,S$1,FALSE)</f>
        <v>11473456</v>
      </c>
      <c r="T46">
        <f>VLOOKUP($A46,'MF-226'!$A$2:$BV$53,T$1,FALSE)</f>
        <v>11731042</v>
      </c>
      <c r="U46">
        <f>VLOOKUP($A46,'MF-226'!$A$2:$BV$53,U$1,FALSE)</f>
        <v>11665478</v>
      </c>
      <c r="V46">
        <f>VLOOKUP($A46,'MF-226'!$A$2:$BV$53,V$1,FALSE)</f>
        <v>11813364</v>
      </c>
      <c r="W46">
        <f>VLOOKUP($A46,'MF-226'!$A$2:$BV$53,W$1,FALSE)</f>
        <v>12000186</v>
      </c>
      <c r="X46">
        <f>VLOOKUP($A46,'MF-226'!$A$2:$BV$53,X$1,FALSE)</f>
        <v>11921633</v>
      </c>
      <c r="Y46">
        <f>VLOOKUP($A46,'MF-226'!$A$2:$BV$53,Y$1,FALSE)</f>
        <v>12143805</v>
      </c>
      <c r="Z46">
        <f>VLOOKUP($A46,'MF-226'!$A$2:$BV$53,Z$1,FALSE)</f>
        <v>12322995</v>
      </c>
      <c r="AA46">
        <f>VLOOKUP($A46,'MF-226'!$A$2:$BV$53,AA$1,FALSE)</f>
        <v>13254716</v>
      </c>
      <c r="AB46">
        <f>VLOOKUP($A46,'MF-226'!$A$2:$BV$53,AB$1,FALSE)</f>
        <v>13254716</v>
      </c>
      <c r="AC46">
        <f>VLOOKUP($A46,'MF-226'!$A$2:$BV$53,AC$1,FALSE)</f>
        <v>13701466</v>
      </c>
      <c r="AD46">
        <f>VLOOKUP($A46,'MF-226'!$A$2:$BV$53,AD$1,FALSE)</f>
        <v>13796629</v>
      </c>
      <c r="AE46">
        <f>VLOOKUP($A46,'MF-226'!$A$2:$BV$53,AE$1,FALSE)</f>
        <v>14045145</v>
      </c>
      <c r="AF46">
        <f>VLOOKUP($A46,'MF-226'!$A$2:$BV$53,AF$1,FALSE)</f>
        <v>14271917</v>
      </c>
      <c r="AG46">
        <f>VLOOKUP($A46,'MF-226'!$A$2:$BV$53,AG$1,FALSE)</f>
        <v>12291098</v>
      </c>
      <c r="AH46">
        <f>VLOOKUP($A46,'MF-226'!$A$2:$BV$53,AH$1,FALSE)</f>
        <v>13648586</v>
      </c>
    </row>
    <row r="47" spans="1:34">
      <c r="A47" t="s">
        <v>41</v>
      </c>
      <c r="B47" t="str">
        <f>VLOOKUP(A47,'State Codes'!$C$10:$D$63,2,FALSE)</f>
        <v>UT</v>
      </c>
      <c r="C47">
        <f>VLOOKUP($A47,'MF-226'!$A$2:$BV$53,C$1,FALSE)</f>
        <v>699331</v>
      </c>
      <c r="D47">
        <f>VLOOKUP($A47,'MF-226'!$A$2:$BV$53,D$1,FALSE)</f>
        <v>722305</v>
      </c>
      <c r="E47">
        <f>VLOOKUP($A47,'MF-226'!$A$2:$BV$53,E$1,FALSE)</f>
        <v>753542</v>
      </c>
      <c r="F47">
        <f>VLOOKUP($A47,'MF-226'!$A$2:$BV$53,F$1,FALSE)</f>
        <v>785238</v>
      </c>
      <c r="G47">
        <f>VLOOKUP($A47,'MF-226'!$A$2:$BV$53,G$1,FALSE)</f>
        <v>808753</v>
      </c>
      <c r="H47">
        <f>VLOOKUP($A47,'MF-226'!$A$2:$BV$53,H$1,FALSE)</f>
        <v>853987</v>
      </c>
      <c r="I47">
        <f>VLOOKUP($A47,'MF-226'!$A$2:$BV$53,I$1,FALSE)</f>
        <v>874654</v>
      </c>
      <c r="J47">
        <f>VLOOKUP($A47,'MF-226'!$A$2:$BV$53,J$1,FALSE)</f>
        <v>911464</v>
      </c>
      <c r="K47">
        <f>VLOOKUP($A47,'MF-226'!$A$2:$BV$53,K$1,FALSE)</f>
        <v>944567</v>
      </c>
      <c r="L47">
        <f>VLOOKUP($A47,'MF-226'!$A$2:$BV$53,L$1,FALSE)</f>
        <v>968927</v>
      </c>
      <c r="M47">
        <f>VLOOKUP($A47,'MF-226'!$A$2:$BV$53,M$1,FALSE)</f>
        <v>995197.65699999989</v>
      </c>
      <c r="N47">
        <f>VLOOKUP($A47,'MF-226'!$A$2:$BV$53,N$1,FALSE)</f>
        <v>945531</v>
      </c>
      <c r="O47">
        <f>VLOOKUP($A47,'MF-226'!$A$2:$BV$53,O$1,FALSE)</f>
        <v>992923</v>
      </c>
      <c r="P47">
        <f>VLOOKUP($A47,'MF-226'!$A$2:$BV$53,P$1,FALSE)</f>
        <v>1002977</v>
      </c>
      <c r="Q47">
        <f>VLOOKUP($A47,'MF-226'!$A$2:$BV$53,Q$1,FALSE)</f>
        <v>1011839</v>
      </c>
      <c r="R47">
        <f>VLOOKUP($A47,'MF-226'!$A$2:$BV$53,R$1,FALSE)</f>
        <v>996759</v>
      </c>
      <c r="S47">
        <f>VLOOKUP($A47,'MF-226'!$A$2:$BV$53,S$1,FALSE)</f>
        <v>1010554</v>
      </c>
      <c r="T47">
        <f>VLOOKUP($A47,'MF-226'!$A$2:$BV$53,T$1,FALSE)</f>
        <v>1041844</v>
      </c>
      <c r="U47">
        <f>VLOOKUP($A47,'MF-226'!$A$2:$BV$53,U$1,FALSE)</f>
        <v>1016729</v>
      </c>
      <c r="V47">
        <f>VLOOKUP($A47,'MF-226'!$A$2:$BV$53,V$1,FALSE)</f>
        <v>1023096</v>
      </c>
      <c r="W47">
        <f>VLOOKUP($A47,'MF-226'!$A$2:$BV$53,W$1,FALSE)</f>
        <v>1012192</v>
      </c>
      <c r="X47">
        <f>VLOOKUP($A47,'MF-226'!$A$2:$BV$53,X$1,FALSE)</f>
        <v>1053856</v>
      </c>
      <c r="Y47">
        <f>VLOOKUP($A47,'MF-226'!$A$2:$BV$53,Y$1,FALSE)</f>
        <v>1036479</v>
      </c>
      <c r="Z47">
        <f>VLOOKUP($A47,'MF-226'!$A$2:$BV$53,Z$1,FALSE)</f>
        <v>1057660</v>
      </c>
      <c r="AA47">
        <f>VLOOKUP($A47,'MF-226'!$A$2:$BV$53,AA$1,FALSE)</f>
        <v>1114217</v>
      </c>
      <c r="AB47">
        <f>VLOOKUP($A47,'MF-226'!$A$2:$BV$53,AB$1,FALSE)</f>
        <v>1043907</v>
      </c>
      <c r="AC47">
        <f>VLOOKUP($A47,'MF-226'!$A$2:$BV$53,AC$1,FALSE)</f>
        <v>1135463</v>
      </c>
      <c r="AD47">
        <f>VLOOKUP($A47,'MF-226'!$A$2:$BV$53,AD$1,FALSE)</f>
        <v>1144817</v>
      </c>
      <c r="AE47">
        <f>VLOOKUP($A47,'MF-226'!$A$2:$BV$53,AE$1,FALSE)</f>
        <v>1141648</v>
      </c>
      <c r="AF47">
        <f>VLOOKUP($A47,'MF-226'!$A$2:$BV$53,AF$1,FALSE)</f>
        <v>1190445</v>
      </c>
      <c r="AG47">
        <f>VLOOKUP($A47,'MF-226'!$A$2:$BV$53,AG$1,FALSE)</f>
        <v>1099325</v>
      </c>
      <c r="AH47">
        <f>VLOOKUP($A47,'MF-226'!$A$2:$BV$53,AH$1,FALSE)</f>
        <v>1166560</v>
      </c>
    </row>
    <row r="48" spans="1:34">
      <c r="A48" t="s">
        <v>42</v>
      </c>
      <c r="B48" t="str">
        <f>VLOOKUP(A48,'State Codes'!$C$10:$D$63,2,FALSE)</f>
        <v>VT</v>
      </c>
      <c r="C48">
        <f>VLOOKUP($A48,'MF-226'!$A$2:$BV$53,C$1,FALSE)</f>
        <v>279248</v>
      </c>
      <c r="D48">
        <f>VLOOKUP($A48,'MF-226'!$A$2:$BV$53,D$1,FALSE)</f>
        <v>279974</v>
      </c>
      <c r="E48">
        <f>VLOOKUP($A48,'MF-226'!$A$2:$BV$53,E$1,FALSE)</f>
        <v>287895</v>
      </c>
      <c r="F48">
        <f>VLOOKUP($A48,'MF-226'!$A$2:$BV$53,F$1,FALSE)</f>
        <v>296796</v>
      </c>
      <c r="G48">
        <f>VLOOKUP($A48,'MF-226'!$A$2:$BV$53,G$1,FALSE)</f>
        <v>299336</v>
      </c>
      <c r="H48">
        <f>VLOOKUP($A48,'MF-226'!$A$2:$BV$53,H$1,FALSE)</f>
        <v>297653</v>
      </c>
      <c r="I48">
        <f>VLOOKUP($A48,'MF-226'!$A$2:$BV$53,I$1,FALSE)</f>
        <v>304259</v>
      </c>
      <c r="J48">
        <f>VLOOKUP($A48,'MF-226'!$A$2:$BV$53,J$1,FALSE)</f>
        <v>315849</v>
      </c>
      <c r="K48">
        <f>VLOOKUP($A48,'MF-226'!$A$2:$BV$53,K$1,FALSE)</f>
        <v>312495</v>
      </c>
      <c r="L48">
        <f>VLOOKUP($A48,'MF-226'!$A$2:$BV$53,L$1,FALSE)</f>
        <v>322524</v>
      </c>
      <c r="M48">
        <f>VLOOKUP($A48,'MF-226'!$A$2:$BV$53,M$1,FALSE)</f>
        <v>350397.37300000002</v>
      </c>
      <c r="N48">
        <f>VLOOKUP($A48,'MF-226'!$A$2:$BV$53,N$1,FALSE)</f>
        <v>331183</v>
      </c>
      <c r="O48">
        <f>VLOOKUP($A48,'MF-226'!$A$2:$BV$53,O$1,FALSE)</f>
        <v>336431</v>
      </c>
      <c r="P48">
        <f>VLOOKUP($A48,'MF-226'!$A$2:$BV$53,P$1,FALSE)</f>
        <v>342580</v>
      </c>
      <c r="Q48">
        <f>VLOOKUP($A48,'MF-226'!$A$2:$BV$53,Q$1,FALSE)</f>
        <v>343241</v>
      </c>
      <c r="R48">
        <f>VLOOKUP($A48,'MF-226'!$A$2:$BV$53,R$1,FALSE)</f>
        <v>338943</v>
      </c>
      <c r="S48">
        <f>VLOOKUP($A48,'MF-226'!$A$2:$BV$53,S$1,FALSE)</f>
        <v>333802</v>
      </c>
      <c r="T48">
        <f>VLOOKUP($A48,'MF-226'!$A$2:$BV$53,T$1,FALSE)</f>
        <v>334230</v>
      </c>
      <c r="U48">
        <f>VLOOKUP($A48,'MF-226'!$A$2:$BV$53,U$1,FALSE)</f>
        <v>322740</v>
      </c>
      <c r="V48">
        <f>VLOOKUP($A48,'MF-226'!$A$2:$BV$53,V$1,FALSE)</f>
        <v>322662</v>
      </c>
      <c r="W48">
        <f>VLOOKUP($A48,'MF-226'!$A$2:$BV$53,W$1,FALSE)</f>
        <v>321269</v>
      </c>
      <c r="X48">
        <f>VLOOKUP($A48,'MF-226'!$A$2:$BV$53,X$1,FALSE)</f>
        <v>313391</v>
      </c>
      <c r="Y48">
        <f>VLOOKUP($A48,'MF-226'!$A$2:$BV$53,Y$1,FALSE)</f>
        <v>307001</v>
      </c>
      <c r="Z48">
        <f>VLOOKUP($A48,'MF-226'!$A$2:$BV$53,Z$1,FALSE)</f>
        <v>309327</v>
      </c>
      <c r="AA48">
        <f>VLOOKUP($A48,'MF-226'!$A$2:$BV$53,AA$1,FALSE)</f>
        <v>313443</v>
      </c>
      <c r="AB48">
        <f>VLOOKUP($A48,'MF-226'!$A$2:$BV$53,AB$1,FALSE)</f>
        <v>292200</v>
      </c>
      <c r="AC48">
        <f>VLOOKUP($A48,'MF-226'!$A$2:$BV$53,AC$1,FALSE)</f>
        <v>293184</v>
      </c>
      <c r="AD48">
        <f>VLOOKUP($A48,'MF-226'!$A$2:$BV$53,AD$1,FALSE)</f>
        <v>292359</v>
      </c>
      <c r="AE48">
        <f>VLOOKUP($A48,'MF-226'!$A$2:$BV$53,AE$1,FALSE)</f>
        <v>268019</v>
      </c>
      <c r="AF48">
        <f>VLOOKUP($A48,'MF-226'!$A$2:$BV$53,AF$1,FALSE)</f>
        <v>288944</v>
      </c>
      <c r="AG48">
        <f>VLOOKUP($A48,'MF-226'!$A$2:$BV$53,AG$1,FALSE)</f>
        <v>236701</v>
      </c>
      <c r="AH48">
        <f>VLOOKUP($A48,'MF-226'!$A$2:$BV$53,AH$1,FALSE)</f>
        <v>262557</v>
      </c>
    </row>
    <row r="49" spans="1:34">
      <c r="A49" t="s">
        <v>43</v>
      </c>
      <c r="B49" t="str">
        <f>VLOOKUP(A49,'State Codes'!$C$10:$D$63,2,FALSE)</f>
        <v>VA</v>
      </c>
      <c r="C49">
        <f>VLOOKUP($A49,'MF-226'!$A$2:$BV$53,C$1,FALSE)</f>
        <v>2938282</v>
      </c>
      <c r="D49">
        <f>VLOOKUP($A49,'MF-226'!$A$2:$BV$53,D$1,FALSE)</f>
        <v>2927828</v>
      </c>
      <c r="E49">
        <f>VLOOKUP($A49,'MF-226'!$A$2:$BV$53,E$1,FALSE)</f>
        <v>3008397</v>
      </c>
      <c r="F49">
        <f>VLOOKUP($A49,'MF-226'!$A$2:$BV$53,F$1,FALSE)</f>
        <v>3092834</v>
      </c>
      <c r="G49">
        <f>VLOOKUP($A49,'MF-226'!$A$2:$BV$53,G$1,FALSE)</f>
        <v>3146902</v>
      </c>
      <c r="H49">
        <f>VLOOKUP($A49,'MF-226'!$A$2:$BV$53,H$1,FALSE)</f>
        <v>3264525</v>
      </c>
      <c r="I49">
        <f>VLOOKUP($A49,'MF-226'!$A$2:$BV$53,I$1,FALSE)</f>
        <v>3293505</v>
      </c>
      <c r="J49">
        <f>VLOOKUP($A49,'MF-226'!$A$2:$BV$53,J$1,FALSE)</f>
        <v>3388828</v>
      </c>
      <c r="K49">
        <f>VLOOKUP($A49,'MF-226'!$A$2:$BV$53,K$1,FALSE)</f>
        <v>3419930</v>
      </c>
      <c r="L49">
        <f>VLOOKUP($A49,'MF-226'!$A$2:$BV$53,L$1,FALSE)</f>
        <v>3563551</v>
      </c>
      <c r="M49">
        <f>VLOOKUP($A49,'MF-226'!$A$2:$BV$53,M$1,FALSE)</f>
        <v>3579713.6260000002</v>
      </c>
      <c r="N49">
        <f>VLOOKUP($A49,'MF-226'!$A$2:$BV$53,N$1,FALSE)</f>
        <v>3765718</v>
      </c>
      <c r="O49">
        <f>VLOOKUP($A49,'MF-226'!$A$2:$BV$53,O$1,FALSE)</f>
        <v>3792255</v>
      </c>
      <c r="P49">
        <f>VLOOKUP($A49,'MF-226'!$A$2:$BV$53,P$1,FALSE)</f>
        <v>3871590</v>
      </c>
      <c r="Q49">
        <f>VLOOKUP($A49,'MF-226'!$A$2:$BV$53,Q$1,FALSE)</f>
        <v>3904193</v>
      </c>
      <c r="R49">
        <f>VLOOKUP($A49,'MF-226'!$A$2:$BV$53,R$1,FALSE)</f>
        <v>3879915</v>
      </c>
      <c r="S49">
        <f>VLOOKUP($A49,'MF-226'!$A$2:$BV$53,S$1,FALSE)</f>
        <v>3904097</v>
      </c>
      <c r="T49">
        <f>VLOOKUP($A49,'MF-226'!$A$2:$BV$53,T$1,FALSE)</f>
        <v>3999376</v>
      </c>
      <c r="U49">
        <f>VLOOKUP($A49,'MF-226'!$A$2:$BV$53,U$1,FALSE)</f>
        <v>3873188</v>
      </c>
      <c r="V49">
        <f>VLOOKUP($A49,'MF-226'!$A$2:$BV$53,V$1,FALSE)</f>
        <v>3850969</v>
      </c>
      <c r="W49">
        <f>VLOOKUP($A49,'MF-226'!$A$2:$BV$53,W$1,FALSE)</f>
        <v>3966279</v>
      </c>
      <c r="X49">
        <f>VLOOKUP($A49,'MF-226'!$A$2:$BV$53,X$1,FALSE)</f>
        <v>3745606</v>
      </c>
      <c r="Y49">
        <f>VLOOKUP($A49,'MF-226'!$A$2:$BV$53,Y$1,FALSE)</f>
        <v>3863108</v>
      </c>
      <c r="Z49">
        <f>VLOOKUP($A49,'MF-226'!$A$2:$BV$53,Z$1,FALSE)</f>
        <v>3821222</v>
      </c>
      <c r="AA49">
        <f>VLOOKUP($A49,'MF-226'!$A$2:$BV$53,AA$1,FALSE)</f>
        <v>3999288</v>
      </c>
      <c r="AB49">
        <f>VLOOKUP($A49,'MF-226'!$A$2:$BV$53,AB$1,FALSE)</f>
        <v>3815962</v>
      </c>
      <c r="AC49">
        <f>VLOOKUP($A49,'MF-226'!$A$2:$BV$53,AC$1,FALSE)</f>
        <v>3895558</v>
      </c>
      <c r="AD49">
        <f>VLOOKUP($A49,'MF-226'!$A$2:$BV$53,AD$1,FALSE)</f>
        <v>3916215</v>
      </c>
      <c r="AE49">
        <f>VLOOKUP($A49,'MF-226'!$A$2:$BV$53,AE$1,FALSE)</f>
        <v>3919440</v>
      </c>
      <c r="AF49">
        <f>VLOOKUP($A49,'MF-226'!$A$2:$BV$53,AF$1,FALSE)</f>
        <v>3919440</v>
      </c>
      <c r="AG49">
        <f>VLOOKUP($A49,'MF-226'!$A$2:$BV$53,AG$1,FALSE)</f>
        <v>3497571</v>
      </c>
      <c r="AH49">
        <f>VLOOKUP($A49,'MF-226'!$A$2:$BV$53,AH$1,FALSE)</f>
        <v>3819824</v>
      </c>
    </row>
    <row r="50" spans="1:34">
      <c r="A50" t="s">
        <v>44</v>
      </c>
      <c r="B50" t="str">
        <f>VLOOKUP(A50,'State Codes'!$C$10:$D$63,2,FALSE)</f>
        <v>WA</v>
      </c>
      <c r="C50">
        <f>VLOOKUP($A50,'MF-226'!$A$2:$BV$53,C$1,FALSE)</f>
        <v>2230958</v>
      </c>
      <c r="D50">
        <f>VLOOKUP($A50,'MF-226'!$A$2:$BV$53,D$1,FALSE)</f>
        <v>2240400</v>
      </c>
      <c r="E50">
        <f>VLOOKUP($A50,'MF-226'!$A$2:$BV$53,E$1,FALSE)</f>
        <v>2312005</v>
      </c>
      <c r="F50">
        <f>VLOOKUP($A50,'MF-226'!$A$2:$BV$53,F$1,FALSE)</f>
        <v>2399173</v>
      </c>
      <c r="G50">
        <f>VLOOKUP($A50,'MF-226'!$A$2:$BV$53,G$1,FALSE)</f>
        <v>2404610</v>
      </c>
      <c r="H50">
        <f>VLOOKUP($A50,'MF-226'!$A$2:$BV$53,H$1,FALSE)</f>
        <v>2430188</v>
      </c>
      <c r="I50">
        <f>VLOOKUP($A50,'MF-226'!$A$2:$BV$53,I$1,FALSE)</f>
        <v>2559086</v>
      </c>
      <c r="J50">
        <f>VLOOKUP($A50,'MF-226'!$A$2:$BV$53,J$1,FALSE)</f>
        <v>2541687</v>
      </c>
      <c r="K50">
        <f>VLOOKUP($A50,'MF-226'!$A$2:$BV$53,K$1,FALSE)</f>
        <v>2571243</v>
      </c>
      <c r="L50">
        <f>VLOOKUP($A50,'MF-226'!$A$2:$BV$53,L$1,FALSE)</f>
        <v>2636908</v>
      </c>
      <c r="M50">
        <f>VLOOKUP($A50,'MF-226'!$A$2:$BV$53,M$1,FALSE)</f>
        <v>2614702.84</v>
      </c>
      <c r="N50">
        <f>VLOOKUP($A50,'MF-226'!$A$2:$BV$53,N$1,FALSE)</f>
        <v>2622633</v>
      </c>
      <c r="O50">
        <f>VLOOKUP($A50,'MF-226'!$A$2:$BV$53,O$1,FALSE)</f>
        <v>2659936</v>
      </c>
      <c r="P50">
        <f>VLOOKUP($A50,'MF-226'!$A$2:$BV$53,P$1,FALSE)</f>
        <v>2664999</v>
      </c>
      <c r="Q50">
        <f>VLOOKUP($A50,'MF-226'!$A$2:$BV$53,Q$1,FALSE)</f>
        <v>2637226</v>
      </c>
      <c r="R50">
        <f>VLOOKUP($A50,'MF-226'!$A$2:$BV$53,R$1,FALSE)</f>
        <v>2638736</v>
      </c>
      <c r="S50">
        <f>VLOOKUP($A50,'MF-226'!$A$2:$BV$53,S$1,FALSE)</f>
        <v>2626518</v>
      </c>
      <c r="T50">
        <f>VLOOKUP($A50,'MF-226'!$A$2:$BV$53,T$1,FALSE)</f>
        <v>2636390</v>
      </c>
      <c r="U50">
        <f>VLOOKUP($A50,'MF-226'!$A$2:$BV$53,U$1,FALSE)</f>
        <v>2564282</v>
      </c>
      <c r="V50">
        <f>VLOOKUP($A50,'MF-226'!$A$2:$BV$53,V$1,FALSE)</f>
        <v>2612862</v>
      </c>
      <c r="W50">
        <f>VLOOKUP($A50,'MF-226'!$A$2:$BV$53,W$1,FALSE)</f>
        <v>2591748</v>
      </c>
      <c r="X50">
        <f>VLOOKUP($A50,'MF-226'!$A$2:$BV$53,X$1,FALSE)</f>
        <v>2590788</v>
      </c>
      <c r="Y50">
        <f>VLOOKUP($A50,'MF-226'!$A$2:$BV$53,Y$1,FALSE)</f>
        <v>2585353</v>
      </c>
      <c r="Z50">
        <f>VLOOKUP($A50,'MF-226'!$A$2:$BV$53,Z$1,FALSE)</f>
        <v>2624657</v>
      </c>
      <c r="AA50">
        <f>VLOOKUP($A50,'MF-226'!$A$2:$BV$53,AA$1,FALSE)</f>
        <v>2714080</v>
      </c>
      <c r="AB50">
        <f>VLOOKUP($A50,'MF-226'!$A$2:$BV$53,AB$1,FALSE)</f>
        <v>2628062</v>
      </c>
      <c r="AC50">
        <f>VLOOKUP($A50,'MF-226'!$A$2:$BV$53,AC$1,FALSE)</f>
        <v>2673116</v>
      </c>
      <c r="AD50">
        <f>VLOOKUP($A50,'MF-226'!$A$2:$BV$53,AD$1,FALSE)</f>
        <v>2667910</v>
      </c>
      <c r="AE50">
        <f>VLOOKUP($A50,'MF-226'!$A$2:$BV$53,AE$1,FALSE)</f>
        <v>2765858</v>
      </c>
      <c r="AF50">
        <f>VLOOKUP($A50,'MF-226'!$A$2:$BV$53,AF$1,FALSE)</f>
        <v>2811430</v>
      </c>
      <c r="AG50">
        <f>VLOOKUP($A50,'MF-226'!$A$2:$BV$53,AG$1,FALSE)</f>
        <v>2187989</v>
      </c>
      <c r="AH50">
        <f>VLOOKUP($A50,'MF-226'!$A$2:$BV$53,AH$1,FALSE)</f>
        <v>2421264</v>
      </c>
    </row>
    <row r="51" spans="1:34">
      <c r="A51" t="s">
        <v>45</v>
      </c>
      <c r="B51" t="str">
        <f>VLOOKUP(A51,'State Codes'!$C$10:$D$63,2,FALSE)</f>
        <v>WV</v>
      </c>
      <c r="C51">
        <f>VLOOKUP($A51,'MF-226'!$A$2:$BV$53,C$1,FALSE)</f>
        <v>813499</v>
      </c>
      <c r="D51">
        <f>VLOOKUP($A51,'MF-226'!$A$2:$BV$53,D$1,FALSE)</f>
        <v>798268</v>
      </c>
      <c r="E51">
        <f>VLOOKUP($A51,'MF-226'!$A$2:$BV$53,E$1,FALSE)</f>
        <v>831427</v>
      </c>
      <c r="F51">
        <f>VLOOKUP($A51,'MF-226'!$A$2:$BV$53,F$1,FALSE)</f>
        <v>825240</v>
      </c>
      <c r="G51">
        <f>VLOOKUP($A51,'MF-226'!$A$2:$BV$53,G$1,FALSE)</f>
        <v>839273</v>
      </c>
      <c r="H51">
        <f>VLOOKUP($A51,'MF-226'!$A$2:$BV$53,H$1,FALSE)</f>
        <v>867328</v>
      </c>
      <c r="I51">
        <f>VLOOKUP($A51,'MF-226'!$A$2:$BV$53,I$1,FALSE)</f>
        <v>787024</v>
      </c>
      <c r="J51">
        <f>VLOOKUP($A51,'MF-226'!$A$2:$BV$53,J$1,FALSE)</f>
        <v>823083</v>
      </c>
      <c r="K51">
        <f>VLOOKUP($A51,'MF-226'!$A$2:$BV$53,K$1,FALSE)</f>
        <v>819982</v>
      </c>
      <c r="L51">
        <f>VLOOKUP($A51,'MF-226'!$A$2:$BV$53,L$1,FALSE)</f>
        <v>816744</v>
      </c>
      <c r="M51">
        <f>VLOOKUP($A51,'MF-226'!$A$2:$BV$53,M$1,FALSE)</f>
        <v>810008.62</v>
      </c>
      <c r="N51">
        <f>VLOOKUP($A51,'MF-226'!$A$2:$BV$53,N$1,FALSE)</f>
        <v>818516</v>
      </c>
      <c r="O51">
        <f>VLOOKUP($A51,'MF-226'!$A$2:$BV$53,O$1,FALSE)</f>
        <v>799068</v>
      </c>
      <c r="P51">
        <f>VLOOKUP($A51,'MF-226'!$A$2:$BV$53,P$1,FALSE)</f>
        <v>815002</v>
      </c>
      <c r="Q51">
        <f>VLOOKUP($A51,'MF-226'!$A$2:$BV$53,Q$1,FALSE)</f>
        <v>837642</v>
      </c>
      <c r="R51">
        <f>VLOOKUP($A51,'MF-226'!$A$2:$BV$53,R$1,FALSE)</f>
        <v>821584</v>
      </c>
      <c r="S51">
        <f>VLOOKUP($A51,'MF-226'!$A$2:$BV$53,S$1,FALSE)</f>
        <v>815382</v>
      </c>
      <c r="T51">
        <f>VLOOKUP($A51,'MF-226'!$A$2:$BV$53,T$1,FALSE)</f>
        <v>812850</v>
      </c>
      <c r="U51">
        <f>VLOOKUP($A51,'MF-226'!$A$2:$BV$53,U$1,FALSE)</f>
        <v>749049</v>
      </c>
      <c r="V51">
        <f>VLOOKUP($A51,'MF-226'!$A$2:$BV$53,V$1,FALSE)</f>
        <v>815412</v>
      </c>
      <c r="W51">
        <f>VLOOKUP($A51,'MF-226'!$A$2:$BV$53,W$1,FALSE)</f>
        <v>843909</v>
      </c>
      <c r="X51">
        <f>VLOOKUP($A51,'MF-226'!$A$2:$BV$53,X$1,FALSE)</f>
        <v>808962</v>
      </c>
      <c r="Y51">
        <f>VLOOKUP($A51,'MF-226'!$A$2:$BV$53,Y$1,FALSE)</f>
        <v>795327</v>
      </c>
      <c r="Z51">
        <f>VLOOKUP($A51,'MF-226'!$A$2:$BV$53,Z$1,FALSE)</f>
        <v>774677</v>
      </c>
      <c r="AA51">
        <f>VLOOKUP($A51,'MF-226'!$A$2:$BV$53,AA$1,FALSE)</f>
        <v>823952</v>
      </c>
      <c r="AB51">
        <f>VLOOKUP($A51,'MF-226'!$A$2:$BV$53,AB$1,FALSE)</f>
        <v>811497</v>
      </c>
      <c r="AC51">
        <f>VLOOKUP($A51,'MF-226'!$A$2:$BV$53,AC$1,FALSE)</f>
        <v>779194</v>
      </c>
      <c r="AD51">
        <f>VLOOKUP($A51,'MF-226'!$A$2:$BV$53,AD$1,FALSE)</f>
        <v>754615</v>
      </c>
      <c r="AE51">
        <f>VLOOKUP($A51,'MF-226'!$A$2:$BV$53,AE$1,FALSE)</f>
        <v>791672</v>
      </c>
      <c r="AF51">
        <f>VLOOKUP($A51,'MF-226'!$A$2:$BV$53,AF$1,FALSE)</f>
        <v>791672</v>
      </c>
      <c r="AG51">
        <f>VLOOKUP($A51,'MF-226'!$A$2:$BV$53,AG$1,FALSE)</f>
        <v>665085</v>
      </c>
      <c r="AH51">
        <f>VLOOKUP($A51,'MF-226'!$A$2:$BV$53,AH$1,FALSE)</f>
        <v>766549</v>
      </c>
    </row>
    <row r="52" spans="1:34">
      <c r="A52" t="s">
        <v>46</v>
      </c>
      <c r="B52" t="str">
        <f>VLOOKUP(A52,'State Codes'!$C$10:$D$63,2,FALSE)</f>
        <v>WI</v>
      </c>
      <c r="C52">
        <f>VLOOKUP($A52,'MF-226'!$A$2:$BV$53,C$1,FALSE)</f>
        <v>2018210</v>
      </c>
      <c r="D52">
        <f>VLOOKUP($A52,'MF-226'!$A$2:$BV$53,D$1,FALSE)</f>
        <v>2027131</v>
      </c>
      <c r="E52">
        <f>VLOOKUP($A52,'MF-226'!$A$2:$BV$53,E$1,FALSE)</f>
        <v>2083973</v>
      </c>
      <c r="F52">
        <f>VLOOKUP($A52,'MF-226'!$A$2:$BV$53,F$1,FALSE)</f>
        <v>2139667</v>
      </c>
      <c r="G52">
        <f>VLOOKUP($A52,'MF-226'!$A$2:$BV$53,G$1,FALSE)</f>
        <v>2197149</v>
      </c>
      <c r="H52">
        <f>VLOOKUP($A52,'MF-226'!$A$2:$BV$53,H$1,FALSE)</f>
        <v>2253427</v>
      </c>
      <c r="I52">
        <f>VLOOKUP($A52,'MF-226'!$A$2:$BV$53,I$1,FALSE)</f>
        <v>2319012</v>
      </c>
      <c r="J52">
        <f>VLOOKUP($A52,'MF-226'!$A$2:$BV$53,J$1,FALSE)</f>
        <v>2295098</v>
      </c>
      <c r="K52">
        <f>VLOOKUP($A52,'MF-226'!$A$2:$BV$53,K$1,FALSE)</f>
        <v>2433382</v>
      </c>
      <c r="L52">
        <f>VLOOKUP($A52,'MF-226'!$A$2:$BV$53,L$1,FALSE)</f>
        <v>2454852</v>
      </c>
      <c r="M52">
        <f>VLOOKUP($A52,'MF-226'!$A$2:$BV$53,M$1,FALSE)</f>
        <v>2406713.9680000003</v>
      </c>
      <c r="N52">
        <f>VLOOKUP($A52,'MF-226'!$A$2:$BV$53,N$1,FALSE)</f>
        <v>2418289</v>
      </c>
      <c r="O52">
        <f>VLOOKUP($A52,'MF-226'!$A$2:$BV$53,O$1,FALSE)</f>
        <v>2474024</v>
      </c>
      <c r="P52">
        <f>VLOOKUP($A52,'MF-226'!$A$2:$BV$53,P$1,FALSE)</f>
        <v>2503011</v>
      </c>
      <c r="Q52">
        <f>VLOOKUP($A52,'MF-226'!$A$2:$BV$53,Q$1,FALSE)</f>
        <v>2480347</v>
      </c>
      <c r="R52">
        <f>VLOOKUP($A52,'MF-226'!$A$2:$BV$53,R$1,FALSE)</f>
        <v>2455952</v>
      </c>
      <c r="S52">
        <f>VLOOKUP($A52,'MF-226'!$A$2:$BV$53,S$1,FALSE)</f>
        <v>2384773</v>
      </c>
      <c r="T52">
        <f>VLOOKUP($A52,'MF-226'!$A$2:$BV$53,T$1,FALSE)</f>
        <v>2459173</v>
      </c>
      <c r="U52">
        <f>VLOOKUP($A52,'MF-226'!$A$2:$BV$53,U$1,FALSE)</f>
        <v>2436561</v>
      </c>
      <c r="V52">
        <f>VLOOKUP($A52,'MF-226'!$A$2:$BV$53,V$1,FALSE)</f>
        <v>2442624</v>
      </c>
      <c r="W52">
        <f>VLOOKUP($A52,'MF-226'!$A$2:$BV$53,W$1,FALSE)</f>
        <v>2504102</v>
      </c>
      <c r="X52">
        <f>VLOOKUP($A52,'MF-226'!$A$2:$BV$53,X$1,FALSE)</f>
        <v>2431804</v>
      </c>
      <c r="Y52">
        <f>VLOOKUP($A52,'MF-226'!$A$2:$BV$53,Y$1,FALSE)</f>
        <v>2406501</v>
      </c>
      <c r="Z52">
        <f>VLOOKUP($A52,'MF-226'!$A$2:$BV$53,Z$1,FALSE)</f>
        <v>2369479</v>
      </c>
      <c r="AA52">
        <f>VLOOKUP($A52,'MF-226'!$A$2:$BV$53,AA$1,FALSE)</f>
        <v>2594780.9515263764</v>
      </c>
      <c r="AB52">
        <f>VLOOKUP($A52,'MF-226'!$A$2:$BV$53,AB$1,FALSE)</f>
        <v>2371640</v>
      </c>
      <c r="AC52">
        <f>VLOOKUP($A52,'MF-226'!$A$2:$BV$53,AC$1,FALSE)</f>
        <v>2420170</v>
      </c>
      <c r="AD52">
        <f>VLOOKUP($A52,'MF-226'!$A$2:$BV$53,AD$1,FALSE)</f>
        <v>2388395</v>
      </c>
      <c r="AE52">
        <f>VLOOKUP($A52,'MF-226'!$A$2:$BV$53,AE$1,FALSE)</f>
        <v>2491234</v>
      </c>
      <c r="AF52">
        <f>VLOOKUP($A52,'MF-226'!$A$2:$BV$53,AF$1,FALSE)</f>
        <v>2461021</v>
      </c>
      <c r="AG52">
        <f>VLOOKUP($A52,'MF-226'!$A$2:$BV$53,AG$1,FALSE)</f>
        <v>2153517</v>
      </c>
      <c r="AH52">
        <f>VLOOKUP($A52,'MF-226'!$A$2:$BV$53,AH$1,FALSE)</f>
        <v>2348786</v>
      </c>
    </row>
    <row r="53" spans="1:34">
      <c r="A53" t="s">
        <v>47</v>
      </c>
      <c r="B53" t="str">
        <f>VLOOKUP(A53,'State Codes'!$C$10:$D$63,2,FALSE)</f>
        <v>WY</v>
      </c>
      <c r="C53">
        <f>VLOOKUP($A53,'MF-226'!$A$2:$BV$53,C$1,FALSE)</f>
        <v>282290</v>
      </c>
      <c r="D53">
        <f>VLOOKUP($A53,'MF-226'!$A$2:$BV$53,D$1,FALSE)</f>
        <v>280693</v>
      </c>
      <c r="E53">
        <f>VLOOKUP($A53,'MF-226'!$A$2:$BV$53,E$1,FALSE)</f>
        <v>292718</v>
      </c>
      <c r="F53">
        <f>VLOOKUP($A53,'MF-226'!$A$2:$BV$53,F$1,FALSE)</f>
        <v>304040</v>
      </c>
      <c r="G53">
        <f>VLOOKUP($A53,'MF-226'!$A$2:$BV$53,G$1,FALSE)</f>
        <v>307874</v>
      </c>
      <c r="H53">
        <f>VLOOKUP($A53,'MF-226'!$A$2:$BV$53,H$1,FALSE)</f>
        <v>313372</v>
      </c>
      <c r="I53">
        <f>VLOOKUP($A53,'MF-226'!$A$2:$BV$53,I$1,FALSE)</f>
        <v>312216</v>
      </c>
      <c r="J53">
        <f>VLOOKUP($A53,'MF-226'!$A$2:$BV$53,J$1,FALSE)</f>
        <v>299736</v>
      </c>
      <c r="K53">
        <f>VLOOKUP($A53,'MF-226'!$A$2:$BV$53,K$1,FALSE)</f>
        <v>321265</v>
      </c>
      <c r="L53">
        <f>VLOOKUP($A53,'MF-226'!$A$2:$BV$53,L$1,FALSE)</f>
        <v>323729</v>
      </c>
      <c r="M53">
        <f>VLOOKUP($A53,'MF-226'!$A$2:$BV$53,M$1,FALSE)</f>
        <v>318344.06199999992</v>
      </c>
      <c r="N53">
        <f>VLOOKUP($A53,'MF-226'!$A$2:$BV$53,N$1,FALSE)</f>
        <v>321847</v>
      </c>
      <c r="O53">
        <f>VLOOKUP($A53,'MF-226'!$A$2:$BV$53,O$1,FALSE)</f>
        <v>313298</v>
      </c>
      <c r="P53">
        <f>VLOOKUP($A53,'MF-226'!$A$2:$BV$53,P$1,FALSE)</f>
        <v>311028</v>
      </c>
      <c r="Q53">
        <f>VLOOKUP($A53,'MF-226'!$A$2:$BV$53,Q$1,FALSE)</f>
        <v>301525</v>
      </c>
      <c r="R53">
        <f>VLOOKUP($A53,'MF-226'!$A$2:$BV$53,R$1,FALSE)</f>
        <v>303700</v>
      </c>
      <c r="S53">
        <f>VLOOKUP($A53,'MF-226'!$A$2:$BV$53,S$1,FALSE)</f>
        <v>303569</v>
      </c>
      <c r="T53">
        <f>VLOOKUP($A53,'MF-226'!$A$2:$BV$53,T$1,FALSE)</f>
        <v>315267</v>
      </c>
      <c r="U53">
        <f>VLOOKUP($A53,'MF-226'!$A$2:$BV$53,U$1,FALSE)</f>
        <v>311144</v>
      </c>
      <c r="V53">
        <f>VLOOKUP($A53,'MF-226'!$A$2:$BV$53,V$1,FALSE)</f>
        <v>325843</v>
      </c>
      <c r="W53">
        <f>VLOOKUP($A53,'MF-226'!$A$2:$BV$53,W$1,FALSE)</f>
        <v>331835</v>
      </c>
      <c r="X53">
        <f>VLOOKUP($A53,'MF-226'!$A$2:$BV$53,X$1,FALSE)</f>
        <v>315006</v>
      </c>
      <c r="Y53">
        <f>VLOOKUP($A53,'MF-226'!$A$2:$BV$53,Y$1,FALSE)</f>
        <v>334026</v>
      </c>
      <c r="Z53">
        <f>VLOOKUP($A53,'MF-226'!$A$2:$BV$53,Z$1,FALSE)</f>
        <v>334414</v>
      </c>
      <c r="AA53">
        <f>VLOOKUP($A53,'MF-226'!$A$2:$BV$53,AA$1,FALSE)</f>
        <v>338200</v>
      </c>
      <c r="AB53">
        <f>VLOOKUP($A53,'MF-226'!$A$2:$BV$53,AB$1,FALSE)</f>
        <v>314096</v>
      </c>
      <c r="AC53">
        <f>VLOOKUP($A53,'MF-226'!$A$2:$BV$53,AC$1,FALSE)</f>
        <v>320912</v>
      </c>
      <c r="AD53">
        <f>VLOOKUP($A53,'MF-226'!$A$2:$BV$53,AD$1,FALSE)</f>
        <v>314802</v>
      </c>
      <c r="AE53">
        <f>VLOOKUP($A53,'MF-226'!$A$2:$BV$53,AE$1,FALSE)</f>
        <v>294731</v>
      </c>
      <c r="AF53">
        <f>VLOOKUP($A53,'MF-226'!$A$2:$BV$53,AF$1,FALSE)</f>
        <v>293603</v>
      </c>
      <c r="AG53">
        <f>VLOOKUP($A53,'MF-226'!$A$2:$BV$53,AG$1,FALSE)</f>
        <v>273102</v>
      </c>
      <c r="AH53">
        <f>VLOOKUP($A53,'MF-226'!$A$2:$BV$53,AH$1,FALSE)</f>
        <v>294439</v>
      </c>
    </row>
    <row r="54" spans="1:34">
      <c r="A54" t="s">
        <v>48</v>
      </c>
      <c r="C54">
        <f>VLOOKUP($A54,'MF-226'!$A$2:$BV$53,C$1,FALSE)</f>
        <v>109529456</v>
      </c>
      <c r="D54">
        <f>VLOOKUP($A54,'MF-226'!$A$2:$BV$53,D$1,FALSE)</f>
        <v>107913262</v>
      </c>
      <c r="E54">
        <f>VLOOKUP($A54,'MF-226'!$A$2:$BV$53,E$1,FALSE)</f>
        <v>110974379</v>
      </c>
      <c r="F54">
        <f>VLOOKUP($A54,'MF-226'!$A$2:$BV$53,F$1,FALSE)</f>
        <v>113668348</v>
      </c>
      <c r="G54">
        <f>VLOOKUP($A54,'MF-226'!$A$2:$BV$53,G$1,FALSE)</f>
        <v>115681981</v>
      </c>
      <c r="H54">
        <f>VLOOKUP($A54,'MF-226'!$A$2:$BV$53,H$1,FALSE)</f>
        <v>117060566</v>
      </c>
      <c r="I54">
        <f>VLOOKUP($A54,'MF-226'!$A$2:$BV$53,I$1,FALSE)</f>
        <v>119514718</v>
      </c>
      <c r="J54">
        <f>VLOOKUP($A54,'MF-226'!$A$2:$BV$53,J$1,FALSE)</f>
        <v>120937877</v>
      </c>
      <c r="K54">
        <f>VLOOKUP($A54,'MF-226'!$A$2:$BV$53,K$1,FALSE)</f>
        <v>124693672</v>
      </c>
      <c r="L54">
        <f>VLOOKUP($A54,'MF-226'!$A$2:$BV$53,L$1,FALSE)</f>
        <v>128743412</v>
      </c>
      <c r="M54">
        <f>VLOOKUP($A54,'MF-226'!$A$2:$BV$53,M$1,FALSE)</f>
        <v>128883609.09700005</v>
      </c>
      <c r="N54">
        <f>VLOOKUP($A54,'MF-226'!$A$2:$BV$53,N$1,FALSE)</f>
        <v>129682089.7696</v>
      </c>
      <c r="O54">
        <f>VLOOKUP($A54,'MF-226'!$A$2:$BV$53,O$1,FALSE)</f>
        <v>132954729</v>
      </c>
      <c r="P54">
        <f>VLOOKUP($A54,'MF-226'!$A$2:$BV$53,P$1,FALSE)</f>
        <v>134634490</v>
      </c>
      <c r="Q54">
        <f>VLOOKUP($A54,'MF-226'!$A$2:$BV$53,Q$1,FALSE)</f>
        <v>136455369</v>
      </c>
      <c r="R54">
        <f>VLOOKUP($A54,'MF-226'!$A$2:$BV$53,R$1,FALSE)</f>
        <v>135176021</v>
      </c>
      <c r="S54">
        <f>VLOOKUP($A54,'MF-226'!$A$2:$BV$53,S$1,FALSE)</f>
        <v>134836165</v>
      </c>
      <c r="T54">
        <f>VLOOKUP($A54,'MF-226'!$A$2:$BV$53,T$1,FALSE)</f>
        <v>135417561</v>
      </c>
      <c r="U54">
        <f>VLOOKUP($A54,'MF-226'!$A$2:$BV$53,U$1,FALSE)</f>
        <v>132253702</v>
      </c>
      <c r="V54">
        <f>VLOOKUP($A54,'MF-226'!$A$2:$BV$53,V$1,FALSE)</f>
        <v>132926657</v>
      </c>
      <c r="W54">
        <f>VLOOKUP($A54,'MF-226'!$A$2:$BV$53,W$1,FALSE)</f>
        <v>133725262</v>
      </c>
      <c r="X54">
        <f>VLOOKUP($A54,'MF-226'!$A$2:$BV$53,X$1,FALSE)</f>
        <v>131274407</v>
      </c>
      <c r="Y54">
        <f>VLOOKUP($A54,'MF-226'!$A$2:$BV$53,Y$1,FALSE)</f>
        <v>130934705</v>
      </c>
      <c r="Z54">
        <f>VLOOKUP($A54,'MF-226'!$A$2:$BV$53,Z$1,FALSE)</f>
        <v>131298651</v>
      </c>
      <c r="AA54">
        <f>VLOOKUP($A54,'MF-226'!$A$2:$BV$53,AA$1,FALSE)</f>
        <v>136468146.95152637</v>
      </c>
      <c r="AB54">
        <f>VLOOKUP($A54,'MF-226'!$A$2:$BV$53,AB$1,FALSE)</f>
        <v>132242542.00294797</v>
      </c>
      <c r="AC54">
        <f>VLOOKUP($A54,'MF-226'!$A$2:$BV$53,AC$1,FALSE)</f>
        <v>135559291</v>
      </c>
      <c r="AD54">
        <f>VLOOKUP($A54,'MF-226'!$A$2:$BV$53,AD$1,FALSE)</f>
        <v>135300642</v>
      </c>
      <c r="AE54">
        <f>VLOOKUP($A54,'MF-226'!$A$2:$BV$53,AE$1,FALSE)</f>
        <v>135336713</v>
      </c>
      <c r="AF54">
        <f>VLOOKUP($A54,'MF-226'!$A$2:$BV$53,AF$1,FALSE)</f>
        <v>136075824</v>
      </c>
      <c r="AG54">
        <f>VLOOKUP($A54,'MF-226'!$A$2:$BV$53,AG$1,FALSE)</f>
        <v>117251028</v>
      </c>
      <c r="AH54">
        <f>VLOOKUP($A54,'MF-226'!$A$2:$BV$53,AH$1,FALSE)</f>
        <v>128909697</v>
      </c>
    </row>
    <row r="55" spans="1:34">
      <c r="A55" s="71" t="s">
        <v>119</v>
      </c>
      <c r="C55" s="72">
        <f>SUM(C3:C53)-C54</f>
        <v>0</v>
      </c>
      <c r="D55" s="72">
        <f t="shared" ref="D55:AF55" si="0">SUM(D3:D53)-D54</f>
        <v>0</v>
      </c>
      <c r="E55" s="72">
        <f t="shared" si="0"/>
        <v>0</v>
      </c>
      <c r="F55" s="72">
        <f t="shared" si="0"/>
        <v>0</v>
      </c>
      <c r="G55" s="72">
        <f t="shared" si="0"/>
        <v>0</v>
      </c>
      <c r="H55" s="72">
        <f t="shared" si="0"/>
        <v>0</v>
      </c>
      <c r="I55" s="72">
        <f t="shared" si="0"/>
        <v>0</v>
      </c>
      <c r="J55" s="72">
        <f t="shared" si="0"/>
        <v>0</v>
      </c>
      <c r="K55" s="72">
        <f t="shared" si="0"/>
        <v>0</v>
      </c>
      <c r="L55" s="72">
        <f t="shared" si="0"/>
        <v>0</v>
      </c>
      <c r="M55" s="72">
        <f t="shared" si="0"/>
        <v>0</v>
      </c>
      <c r="N55" s="72">
        <f t="shared" si="0"/>
        <v>0</v>
      </c>
      <c r="O55" s="72">
        <f t="shared" si="0"/>
        <v>0</v>
      </c>
      <c r="P55" s="72">
        <f t="shared" si="0"/>
        <v>0</v>
      </c>
      <c r="Q55" s="72">
        <f t="shared" si="0"/>
        <v>0</v>
      </c>
      <c r="R55" s="72">
        <f t="shared" si="0"/>
        <v>0</v>
      </c>
      <c r="S55" s="72">
        <f t="shared" si="0"/>
        <v>0</v>
      </c>
      <c r="T55" s="72">
        <f t="shared" si="0"/>
        <v>0</v>
      </c>
      <c r="U55" s="72">
        <f t="shared" si="0"/>
        <v>0</v>
      </c>
      <c r="V55" s="72">
        <f t="shared" si="0"/>
        <v>0</v>
      </c>
      <c r="W55" s="72">
        <f t="shared" si="0"/>
        <v>0</v>
      </c>
      <c r="X55" s="72">
        <f t="shared" si="0"/>
        <v>0</v>
      </c>
      <c r="Y55" s="72">
        <f t="shared" si="0"/>
        <v>0</v>
      </c>
      <c r="Z55" s="72">
        <f t="shared" si="0"/>
        <v>0</v>
      </c>
      <c r="AA55" s="72">
        <f t="shared" si="0"/>
        <v>0</v>
      </c>
      <c r="AB55" s="72">
        <f t="shared" si="0"/>
        <v>0</v>
      </c>
      <c r="AC55" s="72">
        <f t="shared" si="0"/>
        <v>0</v>
      </c>
      <c r="AD55" s="72">
        <f>SUM(AD3:AD53)-AD54</f>
        <v>0.47794196009635925</v>
      </c>
      <c r="AE55" s="72">
        <f t="shared" si="0"/>
        <v>0</v>
      </c>
      <c r="AF55" s="72">
        <f t="shared" si="0"/>
        <v>0</v>
      </c>
      <c r="AG55" s="72">
        <f t="shared" ref="AG55:AH55" si="1">SUM(AG3:AG53)-AG54</f>
        <v>0</v>
      </c>
      <c r="AH55" s="72">
        <f t="shared" si="1"/>
        <v>0</v>
      </c>
    </row>
    <row r="57" spans="1:34">
      <c r="B57" t="s">
        <v>59</v>
      </c>
      <c r="C57" s="73">
        <f>SUMIF($B$3:$B$53,$B57,C$3:C$53)/C$54</f>
        <v>2.1560501496510672E-3</v>
      </c>
      <c r="D57" s="73">
        <f t="shared" ref="D57:AE66" si="2">SUMIF($B$3:$B$53,$B57,D$3:D$53)/D$54</f>
        <v>1.8709655908650041E-3</v>
      </c>
      <c r="E57" s="73">
        <f t="shared" si="2"/>
        <v>2.1206967060387874E-3</v>
      </c>
      <c r="F57" s="73">
        <f t="shared" si="2"/>
        <v>2.1301180518608401E-3</v>
      </c>
      <c r="G57" s="73">
        <f t="shared" si="2"/>
        <v>2.3626756530042477E-3</v>
      </c>
      <c r="H57" s="73">
        <f t="shared" si="2"/>
        <v>2.5171755960927099E-3</v>
      </c>
      <c r="I57" s="73">
        <f t="shared" si="2"/>
        <v>2.2423514399289297E-3</v>
      </c>
      <c r="J57" s="73">
        <f t="shared" si="2"/>
        <v>2.1431747144031641E-3</v>
      </c>
      <c r="K57" s="73">
        <f t="shared" si="2"/>
        <v>2.2200645434517319E-3</v>
      </c>
      <c r="L57" s="73">
        <f t="shared" si="2"/>
        <v>2.0739313635714423E-3</v>
      </c>
      <c r="M57" s="73">
        <f t="shared" si="2"/>
        <v>1.9195214638488773E-3</v>
      </c>
      <c r="N57" s="73">
        <f t="shared" si="2"/>
        <v>1.8152082559605878E-3</v>
      </c>
      <c r="O57" s="73">
        <f t="shared" si="2"/>
        <v>1.7826218125720072E-3</v>
      </c>
      <c r="P57" s="73">
        <f t="shared" si="2"/>
        <v>1.7915543038043223E-3</v>
      </c>
      <c r="Q57" s="73">
        <f t="shared" si="2"/>
        <v>2.049842392057142E-3</v>
      </c>
      <c r="R57" s="73">
        <f t="shared" si="2"/>
        <v>1.9812759542611482E-3</v>
      </c>
      <c r="S57" s="73">
        <f t="shared" si="2"/>
        <v>1.9504559477792919E-3</v>
      </c>
      <c r="T57" s="73">
        <f t="shared" si="2"/>
        <v>1.9749432645593135E-3</v>
      </c>
      <c r="U57" s="73">
        <f t="shared" si="2"/>
        <v>1.9763227497404949E-3</v>
      </c>
      <c r="V57" s="73">
        <f t="shared" si="2"/>
        <v>1.9995236922267594E-3</v>
      </c>
      <c r="W57" s="73">
        <f t="shared" si="2"/>
        <v>1.9857803681102527E-3</v>
      </c>
      <c r="X57" s="73">
        <f t="shared" si="2"/>
        <v>1.9792205193507367E-3</v>
      </c>
      <c r="Y57" s="73">
        <f t="shared" si="2"/>
        <v>2.0451644199297658E-3</v>
      </c>
      <c r="Z57" s="73">
        <f t="shared" si="2"/>
        <v>1.9169427719405892E-3</v>
      </c>
      <c r="AA57" s="73">
        <f t="shared" si="2"/>
        <v>2.0083367886379478E-3</v>
      </c>
      <c r="AB57" s="73">
        <f t="shared" si="2"/>
        <v>1.8404062438135418E-3</v>
      </c>
      <c r="AC57" s="73">
        <f t="shared" si="2"/>
        <v>1.8694107805565315E-3</v>
      </c>
      <c r="AD57" s="73">
        <f t="shared" si="2"/>
        <v>1.8287052917309882E-3</v>
      </c>
      <c r="AE57" s="73">
        <f t="shared" si="2"/>
        <v>1.8057849535624527E-3</v>
      </c>
      <c r="AF57" s="73">
        <f t="shared" ref="AF57:AH65" si="3">SUMIF($B$3:$B$53,$B57,AF$3:AF$53)/AF$54</f>
        <v>1.7825502934305216E-3</v>
      </c>
      <c r="AG57" s="73">
        <f t="shared" si="3"/>
        <v>1.8050673295589357E-3</v>
      </c>
      <c r="AH57" s="73">
        <f t="shared" si="3"/>
        <v>1.8101818981080997E-3</v>
      </c>
    </row>
    <row r="58" spans="1:34">
      <c r="B58" t="s">
        <v>58</v>
      </c>
      <c r="C58" s="73">
        <f t="shared" ref="C58:R81" si="4">SUMIF($B$3:$B$53,$B58,C$3:C$53)/C$54</f>
        <v>1.8746728733866805E-2</v>
      </c>
      <c r="D58" s="73">
        <f t="shared" si="4"/>
        <v>1.9000982474239356E-2</v>
      </c>
      <c r="E58" s="73">
        <f t="shared" si="4"/>
        <v>1.9150149963893918E-2</v>
      </c>
      <c r="F58" s="73">
        <f t="shared" si="4"/>
        <v>1.9052691783644115E-2</v>
      </c>
      <c r="G58" s="73">
        <f t="shared" si="4"/>
        <v>1.9194380843115057E-2</v>
      </c>
      <c r="H58" s="73">
        <f t="shared" si="4"/>
        <v>1.950597095182335E-2</v>
      </c>
      <c r="I58" s="73">
        <f t="shared" si="4"/>
        <v>1.903230027284171E-2</v>
      </c>
      <c r="J58" s="73">
        <f t="shared" si="4"/>
        <v>1.904304141207969E-2</v>
      </c>
      <c r="K58" s="73">
        <f t="shared" si="4"/>
        <v>1.9113223323794649E-2</v>
      </c>
      <c r="L58" s="73">
        <f t="shared" si="4"/>
        <v>1.8751064326305099E-2</v>
      </c>
      <c r="M58" s="73">
        <f t="shared" si="4"/>
        <v>1.8456733712428057E-2</v>
      </c>
      <c r="N58" s="73">
        <f t="shared" si="4"/>
        <v>1.837190474207261E-2</v>
      </c>
      <c r="O58" s="73">
        <f t="shared" si="4"/>
        <v>1.9114784551965806E-2</v>
      </c>
      <c r="P58" s="73">
        <f t="shared" si="4"/>
        <v>1.8174703970728453E-2</v>
      </c>
      <c r="Q58" s="73">
        <f t="shared" si="4"/>
        <v>1.8656422379393515E-2</v>
      </c>
      <c r="R58" s="73">
        <f t="shared" si="4"/>
        <v>1.8834679266080779E-2</v>
      </c>
      <c r="S58" s="73">
        <f t="shared" si="2"/>
        <v>1.8822769099076646E-2</v>
      </c>
      <c r="T58" s="73">
        <f t="shared" si="2"/>
        <v>1.9002897268250163E-2</v>
      </c>
      <c r="U58" s="73">
        <f t="shared" si="2"/>
        <v>1.8983808861547029E-2</v>
      </c>
      <c r="V58" s="73">
        <f t="shared" si="2"/>
        <v>1.9057938092883808E-2</v>
      </c>
      <c r="W58" s="73">
        <f t="shared" si="2"/>
        <v>1.9407821388302833E-2</v>
      </c>
      <c r="X58" s="73">
        <f t="shared" si="2"/>
        <v>1.9338849498668844E-2</v>
      </c>
      <c r="Y58" s="73">
        <f t="shared" si="2"/>
        <v>1.9254398595086E-2</v>
      </c>
      <c r="Z58" s="73">
        <f t="shared" si="2"/>
        <v>1.9191004483359086E-2</v>
      </c>
      <c r="AA58" s="73">
        <f t="shared" si="2"/>
        <v>1.8882999861611131E-2</v>
      </c>
      <c r="AB58" s="73">
        <f t="shared" si="2"/>
        <v>1.8936236116394198E-2</v>
      </c>
      <c r="AC58" s="73">
        <f t="shared" si="2"/>
        <v>1.9035154145207206E-2</v>
      </c>
      <c r="AD58" s="73">
        <f t="shared" si="2"/>
        <v>1.8852393915470111E-2</v>
      </c>
      <c r="AE58" s="73">
        <f t="shared" si="2"/>
        <v>1.8774669072980959E-2</v>
      </c>
      <c r="AF58" s="73">
        <f t="shared" si="3"/>
        <v>1.9545367588587964E-2</v>
      </c>
      <c r="AG58" s="73">
        <f t="shared" si="3"/>
        <v>2.3046493033732719E-2</v>
      </c>
      <c r="AH58" s="73">
        <f t="shared" si="3"/>
        <v>2.3837578332062948E-2</v>
      </c>
    </row>
    <row r="59" spans="1:34">
      <c r="B59" t="s">
        <v>61</v>
      </c>
      <c r="C59" s="73">
        <f t="shared" si="4"/>
        <v>1.0990751200298118E-2</v>
      </c>
      <c r="D59" s="73">
        <f t="shared" si="2"/>
        <v>1.1052376491037774E-2</v>
      </c>
      <c r="E59" s="73">
        <f t="shared" si="2"/>
        <v>1.107319555264193E-2</v>
      </c>
      <c r="F59" s="73">
        <f t="shared" si="2"/>
        <v>1.1161092971985483E-2</v>
      </c>
      <c r="G59" s="73">
        <f t="shared" si="2"/>
        <v>1.1117548203120761E-2</v>
      </c>
      <c r="H59" s="73">
        <f t="shared" si="2"/>
        <v>1.1259914803418942E-2</v>
      </c>
      <c r="I59" s="73">
        <f t="shared" si="2"/>
        <v>1.106944836702037E-2</v>
      </c>
      <c r="J59" s="73">
        <f t="shared" si="2"/>
        <v>1.1316107359814163E-2</v>
      </c>
      <c r="K59" s="73">
        <f t="shared" si="2"/>
        <v>1.0941597742024953E-2</v>
      </c>
      <c r="L59" s="73">
        <f t="shared" si="2"/>
        <v>1.0819567217932674E-2</v>
      </c>
      <c r="M59" s="73">
        <f t="shared" si="2"/>
        <v>1.064248013855415E-2</v>
      </c>
      <c r="N59" s="73">
        <f t="shared" si="2"/>
        <v>1.0473103899027253E-2</v>
      </c>
      <c r="O59" s="73">
        <f t="shared" si="2"/>
        <v>1.0405481703475173E-2</v>
      </c>
      <c r="P59" s="73">
        <f t="shared" si="2"/>
        <v>1.0380542162710314E-2</v>
      </c>
      <c r="Q59" s="73">
        <f t="shared" si="2"/>
        <v>1.0204472057087032E-2</v>
      </c>
      <c r="R59" s="73">
        <f t="shared" si="2"/>
        <v>1.0114796913573894E-2</v>
      </c>
      <c r="S59" s="73">
        <f t="shared" si="2"/>
        <v>9.9953599243941711E-3</v>
      </c>
      <c r="T59" s="73">
        <f t="shared" si="2"/>
        <v>1.0174478035385676E-2</v>
      </c>
      <c r="U59" s="73">
        <f t="shared" si="2"/>
        <v>1.0387482385937294E-2</v>
      </c>
      <c r="V59" s="73">
        <f t="shared" si="2"/>
        <v>1.0577208753545949E-2</v>
      </c>
      <c r="W59" s="73">
        <f t="shared" si="2"/>
        <v>1.053095712012888E-2</v>
      </c>
      <c r="X59" s="73">
        <f t="shared" si="2"/>
        <v>1.0452783839274933E-2</v>
      </c>
      <c r="Y59" s="73">
        <f t="shared" si="2"/>
        <v>1.0438072931084237E-2</v>
      </c>
      <c r="Z59" s="73">
        <f t="shared" si="2"/>
        <v>1.0221765340148087E-2</v>
      </c>
      <c r="AA59" s="73">
        <f t="shared" si="2"/>
        <v>1.0411491851682303E-2</v>
      </c>
      <c r="AB59" s="73">
        <f t="shared" si="2"/>
        <v>9.9872323988641869E-3</v>
      </c>
      <c r="AC59" s="73">
        <f t="shared" si="2"/>
        <v>1.0420045646299522E-2</v>
      </c>
      <c r="AD59" s="73">
        <f t="shared" si="2"/>
        <v>1.0406853797486047E-2</v>
      </c>
      <c r="AE59" s="73">
        <f t="shared" si="2"/>
        <v>1.0192467139348951E-2</v>
      </c>
      <c r="AF59" s="73">
        <f t="shared" si="3"/>
        <v>1.0519657040621706E-2</v>
      </c>
      <c r="AG59" s="73">
        <f t="shared" si="3"/>
        <v>1.1316011660042759E-2</v>
      </c>
      <c r="AH59" s="73">
        <f t="shared" si="3"/>
        <v>1.0994968051162202E-2</v>
      </c>
    </row>
    <row r="60" spans="1:34">
      <c r="B60" t="s">
        <v>60</v>
      </c>
      <c r="C60" s="73">
        <f t="shared" si="4"/>
        <v>1.4953466033831119E-2</v>
      </c>
      <c r="D60" s="73">
        <f t="shared" si="2"/>
        <v>1.5554557140530141E-2</v>
      </c>
      <c r="E60" s="73">
        <f t="shared" si="2"/>
        <v>1.5723971746667759E-2</v>
      </c>
      <c r="F60" s="73">
        <f t="shared" si="2"/>
        <v>1.5831346471226977E-2</v>
      </c>
      <c r="G60" s="73">
        <f t="shared" si="2"/>
        <v>1.6423837001892282E-2</v>
      </c>
      <c r="H60" s="73">
        <f t="shared" si="2"/>
        <v>1.6726401271628912E-2</v>
      </c>
      <c r="I60" s="73">
        <f t="shared" si="2"/>
        <v>1.7253147014077378E-2</v>
      </c>
      <c r="J60" s="73">
        <f t="shared" si="2"/>
        <v>1.6858853905629582E-2</v>
      </c>
      <c r="K60" s="73">
        <f t="shared" si="2"/>
        <v>1.7618367995450482E-2</v>
      </c>
      <c r="L60" s="73">
        <f t="shared" si="2"/>
        <v>1.7959023798437158E-2</v>
      </c>
      <c r="M60" s="73">
        <f t="shared" si="2"/>
        <v>1.8360719788805799E-2</v>
      </c>
      <c r="N60" s="73">
        <f t="shared" si="2"/>
        <v>1.8726024575286195E-2</v>
      </c>
      <c r="O60" s="73">
        <f t="shared" si="2"/>
        <v>1.9108586953684063E-2</v>
      </c>
      <c r="P60" s="73">
        <f t="shared" si="2"/>
        <v>1.9122076371366654E-2</v>
      </c>
      <c r="Q60" s="73">
        <f t="shared" si="2"/>
        <v>1.972416343691101E-2</v>
      </c>
      <c r="R60" s="73">
        <f t="shared" si="2"/>
        <v>2.0397367666266784E-2</v>
      </c>
      <c r="S60" s="73">
        <f t="shared" si="2"/>
        <v>2.0715799800446712E-2</v>
      </c>
      <c r="T60" s="73">
        <f t="shared" si="2"/>
        <v>2.0816952979975767E-2</v>
      </c>
      <c r="U60" s="73">
        <f t="shared" si="2"/>
        <v>2.0044784833319826E-2</v>
      </c>
      <c r="V60" s="73">
        <f t="shared" si="2"/>
        <v>1.9348278652640757E-2</v>
      </c>
      <c r="W60" s="73">
        <f t="shared" si="2"/>
        <v>1.9338058952541069E-2</v>
      </c>
      <c r="X60" s="73">
        <f t="shared" si="2"/>
        <v>1.9527835307608741E-2</v>
      </c>
      <c r="Y60" s="73">
        <f t="shared" si="2"/>
        <v>1.9515635675048874E-2</v>
      </c>
      <c r="Z60" s="73">
        <f t="shared" si="2"/>
        <v>1.9637924535873562E-2</v>
      </c>
      <c r="AA60" s="73">
        <f t="shared" si="2"/>
        <v>1.9518496143617545E-2</v>
      </c>
      <c r="AB60" s="73">
        <f t="shared" si="2"/>
        <v>1.9708937536469153E-2</v>
      </c>
      <c r="AC60" s="73">
        <f t="shared" si="2"/>
        <v>2.0041916566235211E-2</v>
      </c>
      <c r="AD60" s="73">
        <f t="shared" si="2"/>
        <v>2.0193082306290903E-2</v>
      </c>
      <c r="AE60" s="73">
        <f t="shared" si="2"/>
        <v>2.0565129286094011E-2</v>
      </c>
      <c r="AF60" s="73">
        <f t="shared" si="3"/>
        <v>2.0809185032015679E-2</v>
      </c>
      <c r="AG60" s="73">
        <f t="shared" si="3"/>
        <v>2.1422515800884917E-2</v>
      </c>
      <c r="AH60" s="73">
        <f t="shared" si="3"/>
        <v>2.1634330581042326E-2</v>
      </c>
    </row>
    <row r="61" spans="1:34">
      <c r="B61" t="s">
        <v>62</v>
      </c>
      <c r="C61" s="73">
        <f t="shared" si="4"/>
        <v>0.11693706394378513</v>
      </c>
      <c r="D61" s="73">
        <f t="shared" si="2"/>
        <v>0.11487964287466354</v>
      </c>
      <c r="E61" s="73">
        <f t="shared" si="2"/>
        <v>0.11968043542735211</v>
      </c>
      <c r="F61" s="73">
        <f t="shared" si="2"/>
        <v>0.11404038351995756</v>
      </c>
      <c r="G61" s="73">
        <f t="shared" si="2"/>
        <v>0.11179707408364661</v>
      </c>
      <c r="H61" s="73">
        <f t="shared" si="2"/>
        <v>0.1111637628678474</v>
      </c>
      <c r="I61" s="73">
        <f t="shared" si="2"/>
        <v>0.11121440289889652</v>
      </c>
      <c r="J61" s="73">
        <f t="shared" si="2"/>
        <v>0.1115647168173789</v>
      </c>
      <c r="K61" s="73">
        <f t="shared" si="2"/>
        <v>0.11031471589031398</v>
      </c>
      <c r="L61" s="73">
        <f t="shared" si="2"/>
        <v>0.11067888273770467</v>
      </c>
      <c r="M61" s="73">
        <f t="shared" si="2"/>
        <v>0.11155999037223326</v>
      </c>
      <c r="N61" s="73">
        <f t="shared" si="2"/>
        <v>0.11329053245596318</v>
      </c>
      <c r="O61" s="73">
        <f t="shared" si="2"/>
        <v>0.11572239750870389</v>
      </c>
      <c r="P61" s="73">
        <f t="shared" si="2"/>
        <v>0.1140744396179612</v>
      </c>
      <c r="Q61" s="73">
        <f t="shared" si="2"/>
        <v>0.11417268601574776</v>
      </c>
      <c r="R61" s="73">
        <f t="shared" si="2"/>
        <v>0.11551208479498003</v>
      </c>
      <c r="S61" s="73">
        <f t="shared" si="2"/>
        <v>0.1150280416236994</v>
      </c>
      <c r="T61" s="73">
        <f t="shared" si="2"/>
        <v>0.11373830606799956</v>
      </c>
      <c r="U61" s="73">
        <f t="shared" si="2"/>
        <v>0.11181537285058379</v>
      </c>
      <c r="V61" s="73">
        <f t="shared" si="2"/>
        <v>0.10964729971355558</v>
      </c>
      <c r="W61" s="73">
        <f t="shared" si="2"/>
        <v>0.10884283778782201</v>
      </c>
      <c r="X61" s="73">
        <f t="shared" si="2"/>
        <v>0.10874971996636024</v>
      </c>
      <c r="Y61" s="73">
        <f t="shared" si="2"/>
        <v>0.10861289984194794</v>
      </c>
      <c r="Z61" s="73">
        <f t="shared" si="2"/>
        <v>0.10816515548206204</v>
      </c>
      <c r="AA61" s="73">
        <f t="shared" si="2"/>
        <v>0.10742514885328726</v>
      </c>
      <c r="AB61" s="73">
        <f t="shared" si="2"/>
        <v>0.10729029996779486</v>
      </c>
      <c r="AC61" s="73">
        <f t="shared" si="2"/>
        <v>0.10726091065200392</v>
      </c>
      <c r="AD61" s="73">
        <f t="shared" si="2"/>
        <v>0.10800812755936516</v>
      </c>
      <c r="AE61" s="73">
        <f t="shared" si="2"/>
        <v>0.10740693103725668</v>
      </c>
      <c r="AF61" s="73">
        <f t="shared" si="3"/>
        <v>0.10606280069264912</v>
      </c>
      <c r="AG61" s="73">
        <f t="shared" si="3"/>
        <v>9.7971226316241763E-2</v>
      </c>
      <c r="AH61" s="73">
        <f t="shared" si="3"/>
        <v>9.9388535526539951E-2</v>
      </c>
    </row>
    <row r="62" spans="1:34">
      <c r="B62" t="s">
        <v>64</v>
      </c>
      <c r="C62" s="73">
        <f t="shared" si="4"/>
        <v>1.3607983225991736E-2</v>
      </c>
      <c r="D62" s="73">
        <f t="shared" si="2"/>
        <v>1.3699752677293732E-2</v>
      </c>
      <c r="E62" s="73">
        <f t="shared" si="2"/>
        <v>1.3582035903981044E-2</v>
      </c>
      <c r="F62" s="73">
        <f t="shared" si="2"/>
        <v>1.3963632162578803E-2</v>
      </c>
      <c r="G62" s="73">
        <f t="shared" si="2"/>
        <v>1.4247387412910918E-2</v>
      </c>
      <c r="H62" s="73">
        <f t="shared" si="2"/>
        <v>1.4631750541851984E-2</v>
      </c>
      <c r="I62" s="73">
        <f t="shared" si="2"/>
        <v>1.4890676477185011E-2</v>
      </c>
      <c r="J62" s="73">
        <f t="shared" si="2"/>
        <v>1.5030923686546937E-2</v>
      </c>
      <c r="K62" s="73">
        <f t="shared" si="2"/>
        <v>1.4961216315772624E-2</v>
      </c>
      <c r="L62" s="73">
        <f t="shared" si="2"/>
        <v>1.5312651493188638E-2</v>
      </c>
      <c r="M62" s="73">
        <f t="shared" si="2"/>
        <v>1.534508722138225E-2</v>
      </c>
      <c r="N62" s="73">
        <f t="shared" si="2"/>
        <v>1.5797586263760585E-2</v>
      </c>
      <c r="O62" s="73">
        <f t="shared" si="2"/>
        <v>1.5216224463892519E-2</v>
      </c>
      <c r="P62" s="73">
        <f t="shared" si="2"/>
        <v>1.4942434141504157E-2</v>
      </c>
      <c r="Q62" s="73">
        <f t="shared" si="2"/>
        <v>1.5250129146622292E-2</v>
      </c>
      <c r="R62" s="73">
        <f t="shared" si="2"/>
        <v>1.5363257363523076E-2</v>
      </c>
      <c r="S62" s="73">
        <f t="shared" si="2"/>
        <v>1.5323655934592919E-2</v>
      </c>
      <c r="T62" s="73">
        <f t="shared" si="2"/>
        <v>1.5452028411588362E-2</v>
      </c>
      <c r="U62" s="73">
        <f t="shared" si="2"/>
        <v>1.559124598266444E-2</v>
      </c>
      <c r="V62" s="73">
        <f t="shared" si="2"/>
        <v>1.5497508524569305E-2</v>
      </c>
      <c r="W62" s="73">
        <f t="shared" si="2"/>
        <v>1.5654514103700168E-2</v>
      </c>
      <c r="X62" s="73">
        <f t="shared" si="2"/>
        <v>1.5839241231537234E-2</v>
      </c>
      <c r="Y62" s="73">
        <f t="shared" si="2"/>
        <v>1.5772479878424898E-2</v>
      </c>
      <c r="Z62" s="73">
        <f t="shared" si="2"/>
        <v>1.5961778617207576E-2</v>
      </c>
      <c r="AA62" s="73">
        <f t="shared" si="2"/>
        <v>1.6223009174341527E-2</v>
      </c>
      <c r="AB62" s="73">
        <f t="shared" si="2"/>
        <v>1.5934766286880848E-2</v>
      </c>
      <c r="AC62" s="73">
        <f t="shared" si="2"/>
        <v>1.6355507495240586E-2</v>
      </c>
      <c r="AD62" s="73">
        <f t="shared" si="2"/>
        <v>1.6233086314549786E-2</v>
      </c>
      <c r="AE62" s="73">
        <f t="shared" si="2"/>
        <v>1.6336860494018352E-2</v>
      </c>
      <c r="AF62" s="73">
        <f t="shared" si="3"/>
        <v>1.6686645233910176E-2</v>
      </c>
      <c r="AG62" s="73">
        <f t="shared" si="3"/>
        <v>1.6388777418650864E-2</v>
      </c>
      <c r="AH62" s="73">
        <f t="shared" si="3"/>
        <v>1.6727554638500158E-2</v>
      </c>
    </row>
    <row r="63" spans="1:34">
      <c r="B63" t="s">
        <v>65</v>
      </c>
      <c r="C63" s="73">
        <f t="shared" si="4"/>
        <v>1.1884611204496442E-2</v>
      </c>
      <c r="D63" s="73">
        <f t="shared" si="2"/>
        <v>1.2072195537931195E-2</v>
      </c>
      <c r="E63" s="73">
        <f t="shared" si="2"/>
        <v>1.1815763348403148E-2</v>
      </c>
      <c r="F63" s="73">
        <f t="shared" si="2"/>
        <v>1.1629270797531076E-2</v>
      </c>
      <c r="G63" s="73">
        <f t="shared" si="2"/>
        <v>1.1484805053606405E-2</v>
      </c>
      <c r="H63" s="73">
        <f t="shared" si="2"/>
        <v>1.0738466786500929E-2</v>
      </c>
      <c r="I63" s="73">
        <f t="shared" si="2"/>
        <v>1.109669187354816E-2</v>
      </c>
      <c r="J63" s="73">
        <f t="shared" si="2"/>
        <v>1.1003789987151834E-2</v>
      </c>
      <c r="K63" s="73">
        <f t="shared" si="2"/>
        <v>1.1013229284000876E-2</v>
      </c>
      <c r="L63" s="73">
        <f t="shared" si="2"/>
        <v>1.1586301596543053E-2</v>
      </c>
      <c r="M63" s="73">
        <f t="shared" si="2"/>
        <v>1.104068788086973E-2</v>
      </c>
      <c r="N63" s="73">
        <f t="shared" si="2"/>
        <v>1.1245030077714315E-2</v>
      </c>
      <c r="O63" s="73">
        <f t="shared" si="2"/>
        <v>1.1431936354817436E-2</v>
      </c>
      <c r="P63" s="73">
        <f t="shared" si="2"/>
        <v>1.1961949720313123E-2</v>
      </c>
      <c r="Q63" s="73">
        <f t="shared" si="2"/>
        <v>1.3166077767156234E-2</v>
      </c>
      <c r="R63" s="73">
        <f t="shared" si="2"/>
        <v>1.1591582504118833E-2</v>
      </c>
      <c r="S63" s="73">
        <f t="shared" si="2"/>
        <v>1.1249081431528403E-2</v>
      </c>
      <c r="T63" s="73">
        <f t="shared" si="2"/>
        <v>1.1271285560962067E-2</v>
      </c>
      <c r="U63" s="73">
        <f t="shared" si="2"/>
        <v>1.1058994779594147E-2</v>
      </c>
      <c r="V63" s="73">
        <f t="shared" si="2"/>
        <v>1.1127888366289088E-2</v>
      </c>
      <c r="W63" s="73">
        <f t="shared" si="2"/>
        <v>1.0916067601348204E-2</v>
      </c>
      <c r="X63" s="73">
        <f t="shared" si="2"/>
        <v>1.0910016908322428E-2</v>
      </c>
      <c r="Y63" s="73">
        <f t="shared" si="2"/>
        <v>1.0809464152380379E-2</v>
      </c>
      <c r="Z63" s="73">
        <f t="shared" si="2"/>
        <v>1.0652584694110833E-2</v>
      </c>
      <c r="AA63" s="73">
        <f t="shared" si="2"/>
        <v>1.0398822228487273E-2</v>
      </c>
      <c r="AB63" s="73">
        <f t="shared" si="2"/>
        <v>1.0630996491043406E-2</v>
      </c>
      <c r="AC63" s="73">
        <f t="shared" si="2"/>
        <v>1.0636393782850339E-2</v>
      </c>
      <c r="AD63" s="73">
        <f t="shared" si="2"/>
        <v>1.0605803333882185E-2</v>
      </c>
      <c r="AE63" s="73">
        <f t="shared" si="2"/>
        <v>1.0659997335682299E-2</v>
      </c>
      <c r="AF63" s="73">
        <f t="shared" si="3"/>
        <v>1.0563551685713107E-2</v>
      </c>
      <c r="AG63" s="73">
        <f t="shared" si="3"/>
        <v>1.017103235973334E-2</v>
      </c>
      <c r="AH63" s="73">
        <f t="shared" si="3"/>
        <v>1.016360313064734E-2</v>
      </c>
    </row>
    <row r="64" spans="1:34">
      <c r="B64" t="s">
        <v>67</v>
      </c>
      <c r="C64" s="73">
        <f t="shared" si="4"/>
        <v>1.5111277463114581E-3</v>
      </c>
      <c r="D64" s="73">
        <f t="shared" si="2"/>
        <v>1.5381149353079512E-3</v>
      </c>
      <c r="E64" s="73">
        <f t="shared" si="2"/>
        <v>1.5160796709662147E-3</v>
      </c>
      <c r="F64" s="73">
        <f t="shared" si="2"/>
        <v>1.5394962896795156E-3</v>
      </c>
      <c r="G64" s="73">
        <f t="shared" si="2"/>
        <v>1.4581527610596503E-3</v>
      </c>
      <c r="H64" s="73">
        <f t="shared" si="2"/>
        <v>1.4326002831730714E-3</v>
      </c>
      <c r="I64" s="73">
        <f t="shared" si="2"/>
        <v>1.3466793269762808E-3</v>
      </c>
      <c r="J64" s="73">
        <f t="shared" si="2"/>
        <v>1.3820649423174512E-3</v>
      </c>
      <c r="K64" s="73">
        <f t="shared" si="2"/>
        <v>1.2957353601712844E-3</v>
      </c>
      <c r="L64" s="73">
        <f t="shared" si="2"/>
        <v>1.3035230105599501E-3</v>
      </c>
      <c r="M64" s="73">
        <f t="shared" si="2"/>
        <v>1.3130066358759266E-3</v>
      </c>
      <c r="N64" s="73">
        <f t="shared" si="2"/>
        <v>1.14718231533985E-3</v>
      </c>
      <c r="O64" s="73">
        <f t="shared" si="2"/>
        <v>1.0570665748940754E-3</v>
      </c>
      <c r="P64" s="73">
        <f t="shared" si="2"/>
        <v>9.7651055089969889E-4</v>
      </c>
      <c r="Q64" s="73">
        <f t="shared" si="2"/>
        <v>1.0144489074665872E-3</v>
      </c>
      <c r="R64" s="73">
        <f t="shared" si="2"/>
        <v>9.2703572033681915E-4</v>
      </c>
      <c r="S64" s="73">
        <f t="shared" si="2"/>
        <v>9.1892260507409117E-4</v>
      </c>
      <c r="T64" s="73">
        <f t="shared" si="2"/>
        <v>9.0229065637949279E-4</v>
      </c>
      <c r="U64" s="73">
        <f t="shared" si="2"/>
        <v>7.6041727739311216E-4</v>
      </c>
      <c r="V64" s="73">
        <f t="shared" si="2"/>
        <v>8.0580526447753822E-4</v>
      </c>
      <c r="W64" s="73">
        <f t="shared" si="2"/>
        <v>7.7084911600322752E-4</v>
      </c>
      <c r="X64" s="73">
        <f t="shared" si="2"/>
        <v>8.0043020114347197E-4</v>
      </c>
      <c r="Y64" s="73">
        <f t="shared" si="2"/>
        <v>7.210769673326869E-4</v>
      </c>
      <c r="Z64" s="73">
        <f t="shared" si="2"/>
        <v>7.2102797156689752E-4</v>
      </c>
      <c r="AA64" s="73">
        <f t="shared" si="2"/>
        <v>7.8930506793105707E-4</v>
      </c>
      <c r="AB64" s="73">
        <f t="shared" si="2"/>
        <v>8.0677517525050034E-4</v>
      </c>
      <c r="AC64" s="73">
        <f t="shared" si="2"/>
        <v>8.4717911367653876E-4</v>
      </c>
      <c r="AD64" s="73">
        <f t="shared" si="2"/>
        <v>7.3546583762699362E-4</v>
      </c>
      <c r="AE64" s="73">
        <f t="shared" si="2"/>
        <v>1.5235998823172245E-3</v>
      </c>
      <c r="AF64" s="73">
        <f t="shared" si="3"/>
        <v>8.3230067377729048E-4</v>
      </c>
      <c r="AG64" s="73">
        <f t="shared" si="3"/>
        <v>8.0070086890837321E-4</v>
      </c>
      <c r="AH64" s="73">
        <f t="shared" si="3"/>
        <v>7.730993270428678E-4</v>
      </c>
    </row>
    <row r="65" spans="2:34">
      <c r="B65" t="s">
        <v>66</v>
      </c>
      <c r="C65" s="73">
        <f t="shared" si="4"/>
        <v>3.035512200480572E-3</v>
      </c>
      <c r="D65" s="73">
        <f t="shared" si="2"/>
        <v>2.9585242266145194E-3</v>
      </c>
      <c r="E65" s="73">
        <f t="shared" si="2"/>
        <v>3.0503707526941871E-3</v>
      </c>
      <c r="F65" s="73">
        <f t="shared" si="2"/>
        <v>3.0328847569773779E-3</v>
      </c>
      <c r="G65" s="73">
        <f t="shared" si="2"/>
        <v>2.9805765515028655E-3</v>
      </c>
      <c r="H65" s="73">
        <f t="shared" si="2"/>
        <v>2.9634232248629314E-3</v>
      </c>
      <c r="I65" s="73">
        <f t="shared" si="2"/>
        <v>2.9102691770565028E-3</v>
      </c>
      <c r="J65" s="73">
        <f t="shared" si="2"/>
        <v>2.9245345525620563E-3</v>
      </c>
      <c r="K65" s="73">
        <f t="shared" si="2"/>
        <v>2.9954206497343344E-3</v>
      </c>
      <c r="L65" s="73">
        <f t="shared" si="2"/>
        <v>2.9783582246523028E-3</v>
      </c>
      <c r="M65" s="73">
        <f t="shared" si="2"/>
        <v>2.8792907306056945E-3</v>
      </c>
      <c r="N65" s="73">
        <f t="shared" si="2"/>
        <v>2.945996634375322E-3</v>
      </c>
      <c r="O65" s="73">
        <f t="shared" si="2"/>
        <v>3.0779273748134223E-3</v>
      </c>
      <c r="P65" s="73">
        <f t="shared" si="2"/>
        <v>3.0327370052057241E-3</v>
      </c>
      <c r="Q65" s="73">
        <f t="shared" si="2"/>
        <v>3.0198518608674165E-3</v>
      </c>
      <c r="R65" s="73">
        <f t="shared" si="2"/>
        <v>3.1561662848472215E-3</v>
      </c>
      <c r="S65" s="73">
        <f t="shared" si="2"/>
        <v>3.2128101537150658E-3</v>
      </c>
      <c r="T65" s="73">
        <f t="shared" si="2"/>
        <v>3.2052785236620827E-3</v>
      </c>
      <c r="U65" s="73">
        <f t="shared" si="2"/>
        <v>3.1696957715406709E-3</v>
      </c>
      <c r="V65" s="73">
        <f t="shared" si="2"/>
        <v>3.1647602482021346E-3</v>
      </c>
      <c r="W65" s="73">
        <f t="shared" si="2"/>
        <v>3.1805957501133929E-3</v>
      </c>
      <c r="X65" s="73">
        <f t="shared" si="2"/>
        <v>3.1204406811755777E-3</v>
      </c>
      <c r="Y65" s="73">
        <f t="shared" si="2"/>
        <v>3.1004690467664781E-3</v>
      </c>
      <c r="Z65" s="73">
        <f t="shared" si="2"/>
        <v>3.1100395692565037E-3</v>
      </c>
      <c r="AA65" s="73">
        <f t="shared" si="2"/>
        <v>3.0625974583538178E-3</v>
      </c>
      <c r="AB65" s="73">
        <f t="shared" si="2"/>
        <v>3.2840188446341179E-3</v>
      </c>
      <c r="AC65" s="73">
        <f t="shared" si="2"/>
        <v>3.8613509715095811E-3</v>
      </c>
      <c r="AD65" s="73">
        <f t="shared" si="2"/>
        <v>3.4501684034876938E-3</v>
      </c>
      <c r="AE65" s="73">
        <f t="shared" si="2"/>
        <v>3.5901123149045299E-3</v>
      </c>
      <c r="AF65" s="73">
        <f t="shared" si="3"/>
        <v>3.8401531193373484E-3</v>
      </c>
      <c r="AG65" s="73">
        <f t="shared" si="3"/>
        <v>3.6668079362169857E-3</v>
      </c>
      <c r="AH65" s="73">
        <f t="shared" si="3"/>
        <v>3.5939965012872538E-3</v>
      </c>
    </row>
    <row r="66" spans="2:34">
      <c r="B66" t="s">
        <v>72</v>
      </c>
      <c r="C66" s="73">
        <f t="shared" si="4"/>
        <v>5.3234017705702838E-2</v>
      </c>
      <c r="D66" s="73">
        <f t="shared" si="2"/>
        <v>5.32041650265377E-2</v>
      </c>
      <c r="E66" s="73">
        <f t="shared" si="2"/>
        <v>5.339701878394832E-2</v>
      </c>
      <c r="F66" s="73">
        <f t="shared" si="2"/>
        <v>5.5029883956789802E-2</v>
      </c>
      <c r="G66" s="73">
        <f t="shared" si="2"/>
        <v>5.4852890183476367E-2</v>
      </c>
      <c r="H66" s="73">
        <f t="shared" si="2"/>
        <v>5.5274344051949996E-2</v>
      </c>
      <c r="I66" s="73">
        <f t="shared" si="2"/>
        <v>5.4889340072743174E-2</v>
      </c>
      <c r="J66" s="73">
        <f t="shared" si="2"/>
        <v>5.5213347262578455E-2</v>
      </c>
      <c r="K66" s="73">
        <f t="shared" si="2"/>
        <v>5.5706243056183317E-2</v>
      </c>
      <c r="L66" s="73">
        <f t="shared" si="2"/>
        <v>5.6015021568637621E-2</v>
      </c>
      <c r="M66" s="73">
        <f t="shared" si="2"/>
        <v>5.7171524824808091E-2</v>
      </c>
      <c r="N66" s="73">
        <f t="shared" si="2"/>
        <v>5.7611016396123614E-2</v>
      </c>
      <c r="O66" s="73">
        <f t="shared" si="2"/>
        <v>5.8068156417362182E-2</v>
      </c>
      <c r="P66" s="73">
        <f t="shared" si="2"/>
        <v>5.8626292564409016E-2</v>
      </c>
      <c r="Q66" s="73">
        <f t="shared" si="2"/>
        <v>6.0497172522394484E-2</v>
      </c>
      <c r="R66" s="73">
        <f t="shared" si="2"/>
        <v>6.1886634464554925E-2</v>
      </c>
      <c r="S66" s="73">
        <f t="shared" si="2"/>
        <v>6.206437271484249E-2</v>
      </c>
      <c r="T66" s="73">
        <f t="shared" si="2"/>
        <v>6.0927828998485652E-2</v>
      </c>
      <c r="U66" s="73">
        <f t="shared" si="2"/>
        <v>5.9756928392068753E-2</v>
      </c>
      <c r="V66" s="73">
        <f t="shared" ref="V66:AH66" si="5">SUMIF($B$3:$B$53,$B66,V$3:V$53)/V$54</f>
        <v>5.9924737293287983E-2</v>
      </c>
      <c r="W66" s="73">
        <f t="shared" si="5"/>
        <v>5.9025324624153663E-2</v>
      </c>
      <c r="X66" s="73">
        <f t="shared" si="5"/>
        <v>5.9681899762838005E-2</v>
      </c>
      <c r="Y66" s="73">
        <f t="shared" si="5"/>
        <v>6.0231280927390489E-2</v>
      </c>
      <c r="Z66" s="73">
        <f t="shared" si="5"/>
        <v>6.0584689480168381E-2</v>
      </c>
      <c r="AA66" s="73">
        <f t="shared" si="5"/>
        <v>6.0440375166299902E-2</v>
      </c>
      <c r="AB66" s="73">
        <f t="shared" si="5"/>
        <v>6.077998712260705E-2</v>
      </c>
      <c r="AC66" s="73">
        <f t="shared" si="5"/>
        <v>6.0535444966291541E-2</v>
      </c>
      <c r="AD66" s="73">
        <f t="shared" si="5"/>
        <v>6.2028678326596559E-2</v>
      </c>
      <c r="AE66" s="73">
        <f t="shared" si="5"/>
        <v>6.3097357773126944E-2</v>
      </c>
      <c r="AF66" s="73">
        <f t="shared" si="5"/>
        <v>6.310209078726578E-2</v>
      </c>
      <c r="AG66" s="73">
        <f t="shared" si="5"/>
        <v>6.3739279113186109E-2</v>
      </c>
      <c r="AH66" s="73">
        <f t="shared" si="5"/>
        <v>6.4016091822789722E-2</v>
      </c>
    </row>
    <row r="67" spans="2:34">
      <c r="B67" t="s">
        <v>73</v>
      </c>
      <c r="C67" s="73">
        <f t="shared" si="4"/>
        <v>3.1549275657865042E-2</v>
      </c>
      <c r="D67" s="73">
        <f t="shared" si="4"/>
        <v>3.2087529705107053E-2</v>
      </c>
      <c r="E67" s="73">
        <f t="shared" si="4"/>
        <v>3.1618559451456807E-2</v>
      </c>
      <c r="F67" s="73">
        <f t="shared" si="4"/>
        <v>3.4403033639584524E-2</v>
      </c>
      <c r="G67" s="73">
        <f t="shared" si="4"/>
        <v>3.3955149851730149E-2</v>
      </c>
      <c r="H67" s="73">
        <f t="shared" si="4"/>
        <v>3.466391918863608E-2</v>
      </c>
      <c r="I67" s="73">
        <f t="shared" si="4"/>
        <v>3.5296615099740268E-2</v>
      </c>
      <c r="J67" s="73">
        <f t="shared" si="4"/>
        <v>3.4876633397492168E-2</v>
      </c>
      <c r="K67" s="73">
        <f t="shared" si="4"/>
        <v>3.5742142552350212E-2</v>
      </c>
      <c r="L67" s="73">
        <f t="shared" si="4"/>
        <v>3.5882674913105456E-2</v>
      </c>
      <c r="M67" s="73">
        <f t="shared" si="4"/>
        <v>3.6004153604261624E-2</v>
      </c>
      <c r="N67" s="73">
        <f t="shared" si="4"/>
        <v>3.6193918592298126E-2</v>
      </c>
      <c r="O67" s="73">
        <f t="shared" si="4"/>
        <v>3.6303981334879783E-2</v>
      </c>
      <c r="P67" s="73">
        <f t="shared" si="4"/>
        <v>3.6390645517355914E-2</v>
      </c>
      <c r="Q67" s="73">
        <f t="shared" si="4"/>
        <v>3.6342285659716325E-2</v>
      </c>
      <c r="R67" s="73">
        <f t="shared" si="4"/>
        <v>3.673572400832837E-2</v>
      </c>
      <c r="S67" s="73">
        <f t="shared" ref="S67:AH80" si="6">SUMIF($B$3:$B$53,$B67,S$3:S$53)/S$54</f>
        <v>3.5800558403600399E-2</v>
      </c>
      <c r="T67" s="73">
        <f t="shared" si="6"/>
        <v>3.6059496005839305E-2</v>
      </c>
      <c r="U67" s="73">
        <f t="shared" si="6"/>
        <v>3.528862277140643E-2</v>
      </c>
      <c r="V67" s="73">
        <f t="shared" si="6"/>
        <v>3.60080596926469E-2</v>
      </c>
      <c r="W67" s="73">
        <f t="shared" si="6"/>
        <v>3.5870066195869556E-2</v>
      </c>
      <c r="X67" s="73">
        <f t="shared" si="6"/>
        <v>3.5276540994011119E-2</v>
      </c>
      <c r="Y67" s="73">
        <f t="shared" si="6"/>
        <v>3.5208808848654752E-2</v>
      </c>
      <c r="Z67" s="73">
        <f t="shared" si="6"/>
        <v>3.6077796412394211E-2</v>
      </c>
      <c r="AA67" s="73">
        <f t="shared" si="6"/>
        <v>3.420697872931576E-2</v>
      </c>
      <c r="AB67" s="73">
        <f t="shared" si="6"/>
        <v>3.5615982033187207E-2</v>
      </c>
      <c r="AC67" s="73">
        <f t="shared" si="6"/>
        <v>3.3843486242488535E-2</v>
      </c>
      <c r="AD67" s="73">
        <f t="shared" si="6"/>
        <v>3.5569653838006178E-2</v>
      </c>
      <c r="AE67" s="73">
        <f t="shared" si="6"/>
        <v>3.545697167922203E-2</v>
      </c>
      <c r="AF67" s="73">
        <f t="shared" si="6"/>
        <v>3.4858337510416254E-2</v>
      </c>
      <c r="AG67" s="73">
        <f t="shared" si="6"/>
        <v>3.7553325332038881E-2</v>
      </c>
      <c r="AH67" s="73">
        <f t="shared" si="6"/>
        <v>3.5154981397559251E-2</v>
      </c>
    </row>
    <row r="68" spans="2:34">
      <c r="B68" t="s">
        <v>74</v>
      </c>
      <c r="C68" s="73">
        <f t="shared" si="4"/>
        <v>3.2948944802574389E-3</v>
      </c>
      <c r="D68" s="73">
        <f t="shared" si="4"/>
        <v>3.4327662155185339E-3</v>
      </c>
      <c r="E68" s="73">
        <f t="shared" si="4"/>
        <v>3.3412396928123381E-3</v>
      </c>
      <c r="F68" s="73">
        <f t="shared" si="4"/>
        <v>3.2785468123456849E-3</v>
      </c>
      <c r="G68" s="73">
        <f t="shared" si="4"/>
        <v>3.3285650597563677E-3</v>
      </c>
      <c r="H68" s="73">
        <f t="shared" si="4"/>
        <v>3.2749030104638312E-3</v>
      </c>
      <c r="I68" s="73">
        <f t="shared" si="4"/>
        <v>3.203864816047175E-3</v>
      </c>
      <c r="J68" s="73">
        <f t="shared" si="4"/>
        <v>3.1664521446825135E-3</v>
      </c>
      <c r="K68" s="73">
        <f t="shared" si="4"/>
        <v>3.057276234514932E-3</v>
      </c>
      <c r="L68" s="73">
        <f t="shared" si="4"/>
        <v>2.8900740955972179E-3</v>
      </c>
      <c r="M68" s="73">
        <f t="shared" si="4"/>
        <v>2.9802702585005488E-3</v>
      </c>
      <c r="N68" s="73">
        <f t="shared" si="4"/>
        <v>3.1205851225792457E-3</v>
      </c>
      <c r="O68" s="73">
        <f t="shared" si="4"/>
        <v>3.2591920818401277E-3</v>
      </c>
      <c r="P68" s="73">
        <f t="shared" si="4"/>
        <v>3.2896845377436345E-3</v>
      </c>
      <c r="Q68" s="73">
        <f t="shared" si="4"/>
        <v>3.2572481629506273E-3</v>
      </c>
      <c r="R68" s="73">
        <f t="shared" si="4"/>
        <v>3.3300284819006471E-3</v>
      </c>
      <c r="S68" s="73">
        <f t="shared" si="6"/>
        <v>3.4696403594688414E-3</v>
      </c>
      <c r="T68" s="73">
        <f t="shared" si="6"/>
        <v>3.3524750899922057E-3</v>
      </c>
      <c r="U68" s="73">
        <f t="shared" si="6"/>
        <v>3.2630390943612299E-3</v>
      </c>
      <c r="V68" s="73">
        <f t="shared" si="6"/>
        <v>3.2896260980970881E-3</v>
      </c>
      <c r="W68" s="73">
        <f t="shared" si="6"/>
        <v>3.0630039072198638E-3</v>
      </c>
      <c r="X68" s="73">
        <f t="shared" si="6"/>
        <v>3.5142493540267906E-3</v>
      </c>
      <c r="Y68" s="73">
        <f t="shared" si="6"/>
        <v>3.3368769571062158E-3</v>
      </c>
      <c r="Z68" s="73">
        <f t="shared" si="6"/>
        <v>3.3331720978610818E-3</v>
      </c>
      <c r="AA68" s="73">
        <f t="shared" si="6"/>
        <v>3.3361558002375129E-3</v>
      </c>
      <c r="AB68" s="73">
        <f t="shared" si="6"/>
        <v>3.244893764900815E-3</v>
      </c>
      <c r="AC68" s="73">
        <f t="shared" si="6"/>
        <v>3.2756736681368451E-3</v>
      </c>
      <c r="AD68" s="73">
        <f t="shared" si="6"/>
        <v>3.261026654995473E-3</v>
      </c>
      <c r="AE68" s="73">
        <f t="shared" si="6"/>
        <v>3.1854549326907327E-3</v>
      </c>
      <c r="AF68" s="73">
        <f t="shared" si="6"/>
        <v>3.2093210032665318E-3</v>
      </c>
      <c r="AG68" s="73">
        <f t="shared" si="6"/>
        <v>2.8593352716702832E-3</v>
      </c>
      <c r="AH68" s="73">
        <f t="shared" si="6"/>
        <v>3.0151339196771211E-3</v>
      </c>
    </row>
    <row r="69" spans="2:34">
      <c r="B69" t="s">
        <v>78</v>
      </c>
      <c r="C69" s="73">
        <f t="shared" si="4"/>
        <v>1.1835911976044142E-2</v>
      </c>
      <c r="D69" s="73">
        <f t="shared" si="4"/>
        <v>1.1934251417587581E-2</v>
      </c>
      <c r="E69" s="73">
        <f t="shared" si="4"/>
        <v>1.1544727815057203E-2</v>
      </c>
      <c r="F69" s="73">
        <f t="shared" si="4"/>
        <v>1.1643540381179816E-2</v>
      </c>
      <c r="G69" s="73">
        <f t="shared" si="4"/>
        <v>1.2001791359364774E-2</v>
      </c>
      <c r="H69" s="73">
        <f t="shared" si="4"/>
        <v>1.1930166132974276E-2</v>
      </c>
      <c r="I69" s="73">
        <f t="shared" si="4"/>
        <v>1.2186666415428433E-2</v>
      </c>
      <c r="J69" s="73">
        <f t="shared" si="4"/>
        <v>1.1855384231691118E-2</v>
      </c>
      <c r="K69" s="73">
        <f t="shared" si="4"/>
        <v>1.2017939450848798E-2</v>
      </c>
      <c r="L69" s="73">
        <f t="shared" si="4"/>
        <v>1.1751972209653726E-2</v>
      </c>
      <c r="M69" s="73">
        <f t="shared" si="4"/>
        <v>1.1595842973913018E-2</v>
      </c>
      <c r="N69" s="73">
        <f t="shared" si="4"/>
        <v>1.1380229934773606E-2</v>
      </c>
      <c r="O69" s="73">
        <f t="shared" si="4"/>
        <v>1.1425949354535558E-2</v>
      </c>
      <c r="P69" s="73">
        <f t="shared" si="4"/>
        <v>1.1380419682950484E-2</v>
      </c>
      <c r="Q69" s="73">
        <f t="shared" si="4"/>
        <v>1.131015958778434E-2</v>
      </c>
      <c r="R69" s="73">
        <f t="shared" si="4"/>
        <v>1.1307567634351362E-2</v>
      </c>
      <c r="S69" s="73">
        <f t="shared" si="6"/>
        <v>1.1336498631505872E-2</v>
      </c>
      <c r="T69" s="73">
        <f t="shared" si="6"/>
        <v>1.1211145650452234E-2</v>
      </c>
      <c r="U69" s="73">
        <f t="shared" si="6"/>
        <v>1.134497543214329E-2</v>
      </c>
      <c r="V69" s="73">
        <f t="shared" si="6"/>
        <v>1.1369600606144786E-2</v>
      </c>
      <c r="W69" s="73">
        <f t="shared" si="6"/>
        <v>1.1546322489164389E-2</v>
      </c>
      <c r="X69" s="73">
        <f t="shared" si="6"/>
        <v>1.1961455670487241E-2</v>
      </c>
      <c r="Y69" s="73">
        <f t="shared" si="6"/>
        <v>1.1259787846163475E-2</v>
      </c>
      <c r="Z69" s="73">
        <f t="shared" si="6"/>
        <v>1.1391944918002241E-2</v>
      </c>
      <c r="AA69" s="73">
        <f t="shared" si="6"/>
        <v>1.1505820479541859E-2</v>
      </c>
      <c r="AB69" s="73">
        <f t="shared" si="6"/>
        <v>1.1239197141014328E-2</v>
      </c>
      <c r="AC69" s="73">
        <f t="shared" si="6"/>
        <v>1.216819583395431E-2</v>
      </c>
      <c r="AD69" s="73">
        <f t="shared" si="6"/>
        <v>1.1065239439144716E-2</v>
      </c>
      <c r="AE69" s="73">
        <f t="shared" si="6"/>
        <v>1.0958238656202622E-2</v>
      </c>
      <c r="AF69" s="73">
        <f t="shared" si="6"/>
        <v>1.0927069602018356E-2</v>
      </c>
      <c r="AG69" s="73">
        <f t="shared" si="6"/>
        <v>1.1172302898700385E-2</v>
      </c>
      <c r="AH69" s="73">
        <f t="shared" si="6"/>
        <v>1.1414858883734712E-2</v>
      </c>
    </row>
    <row r="70" spans="2:34">
      <c r="B70" t="s">
        <v>75</v>
      </c>
      <c r="C70" s="73">
        <f t="shared" si="4"/>
        <v>4.2445111751490848E-3</v>
      </c>
      <c r="D70" s="73">
        <f t="shared" si="4"/>
        <v>4.2197315840568324E-3</v>
      </c>
      <c r="E70" s="73">
        <f t="shared" si="4"/>
        <v>4.3181498677275767E-3</v>
      </c>
      <c r="F70" s="73">
        <f t="shared" si="4"/>
        <v>4.598808808235693E-3</v>
      </c>
      <c r="G70" s="73">
        <f t="shared" si="4"/>
        <v>4.5680234331395139E-3</v>
      </c>
      <c r="H70" s="73">
        <f t="shared" si="4"/>
        <v>4.6544709172173316E-3</v>
      </c>
      <c r="I70" s="73">
        <f t="shared" si="4"/>
        <v>4.7644090161347323E-3</v>
      </c>
      <c r="J70" s="73">
        <f t="shared" si="4"/>
        <v>4.8506639487312982E-3</v>
      </c>
      <c r="K70" s="73">
        <f t="shared" si="4"/>
        <v>4.9842625534357509E-3</v>
      </c>
      <c r="L70" s="73">
        <f t="shared" si="4"/>
        <v>5.0871340896262718E-3</v>
      </c>
      <c r="M70" s="73">
        <f t="shared" si="4"/>
        <v>4.9012606523501177E-3</v>
      </c>
      <c r="N70" s="73">
        <f t="shared" si="4"/>
        <v>4.6964927931225659E-3</v>
      </c>
      <c r="O70" s="73">
        <f t="shared" si="4"/>
        <v>4.7033152164147546E-3</v>
      </c>
      <c r="P70" s="73">
        <f t="shared" si="4"/>
        <v>4.4083429142116552E-3</v>
      </c>
      <c r="Q70" s="73">
        <f t="shared" si="4"/>
        <v>4.3659110254577081E-3</v>
      </c>
      <c r="R70" s="73">
        <f t="shared" si="4"/>
        <v>4.3065330351749294E-3</v>
      </c>
      <c r="S70" s="73">
        <f t="shared" si="6"/>
        <v>4.5081006271574095E-3</v>
      </c>
      <c r="T70" s="73">
        <f t="shared" si="6"/>
        <v>4.6534215750644037E-3</v>
      </c>
      <c r="U70" s="73">
        <f t="shared" si="6"/>
        <v>4.6989081636444477E-3</v>
      </c>
      <c r="V70" s="73">
        <f t="shared" si="6"/>
        <v>4.7241540122384936E-3</v>
      </c>
      <c r="W70" s="73">
        <f t="shared" si="6"/>
        <v>4.9151670385211132E-3</v>
      </c>
      <c r="X70" s="73">
        <f t="shared" si="6"/>
        <v>4.8994317681435038E-3</v>
      </c>
      <c r="Y70" s="73">
        <f t="shared" si="6"/>
        <v>5.0447511223246731E-3</v>
      </c>
      <c r="Z70" s="73">
        <f t="shared" si="6"/>
        <v>5.076982854911434E-3</v>
      </c>
      <c r="AA70" s="73">
        <f t="shared" si="6"/>
        <v>5.1578483017727175E-3</v>
      </c>
      <c r="AB70" s="73">
        <f t="shared" si="6"/>
        <v>5.0910470246782746E-3</v>
      </c>
      <c r="AC70" s="73">
        <f t="shared" si="6"/>
        <v>5.2917582757201053E-3</v>
      </c>
      <c r="AD70" s="73">
        <f t="shared" si="6"/>
        <v>5.4241575586906673E-3</v>
      </c>
      <c r="AE70" s="73">
        <f t="shared" si="6"/>
        <v>5.0858853059332094E-3</v>
      </c>
      <c r="AF70" s="73">
        <f t="shared" si="6"/>
        <v>5.3943895280031519E-3</v>
      </c>
      <c r="AG70" s="73">
        <f t="shared" si="6"/>
        <v>6.0376272351317893E-3</v>
      </c>
      <c r="AH70" s="73">
        <f t="shared" si="6"/>
        <v>5.8865858632807123E-3</v>
      </c>
    </row>
    <row r="71" spans="2:34">
      <c r="B71" t="s">
        <v>76</v>
      </c>
      <c r="C71" s="73">
        <f t="shared" si="4"/>
        <v>4.0552031957503745E-2</v>
      </c>
      <c r="D71" s="73">
        <f t="shared" si="4"/>
        <v>4.0266663424556662E-2</v>
      </c>
      <c r="E71" s="73">
        <f t="shared" si="4"/>
        <v>4.0401352459922303E-2</v>
      </c>
      <c r="F71" s="73">
        <f t="shared" si="4"/>
        <v>4.0225164528651373E-2</v>
      </c>
      <c r="G71" s="73">
        <f t="shared" si="4"/>
        <v>4.0211128472981458E-2</v>
      </c>
      <c r="H71" s="73">
        <f t="shared" si="4"/>
        <v>3.9239499320377451E-2</v>
      </c>
      <c r="I71" s="73">
        <f t="shared" si="4"/>
        <v>3.8749721184967362E-2</v>
      </c>
      <c r="J71" s="73">
        <f t="shared" si="4"/>
        <v>3.8910200151768833E-2</v>
      </c>
      <c r="K71" s="73">
        <f t="shared" si="4"/>
        <v>3.7891930875209132E-2</v>
      </c>
      <c r="L71" s="73">
        <f t="shared" si="4"/>
        <v>3.8751784829191879E-2</v>
      </c>
      <c r="M71" s="73">
        <f t="shared" si="4"/>
        <v>3.8887801444386007E-2</v>
      </c>
      <c r="N71" s="73">
        <f t="shared" si="4"/>
        <v>3.8673166116541591E-2</v>
      </c>
      <c r="O71" s="73">
        <f t="shared" si="4"/>
        <v>3.8062632582252863E-2</v>
      </c>
      <c r="P71" s="73">
        <f t="shared" si="4"/>
        <v>3.7709950845433438E-2</v>
      </c>
      <c r="Q71" s="73">
        <f t="shared" si="4"/>
        <v>3.787197995851669E-2</v>
      </c>
      <c r="R71" s="73">
        <f t="shared" si="4"/>
        <v>3.7382702661443189E-2</v>
      </c>
      <c r="S71" s="73">
        <f t="shared" si="6"/>
        <v>3.716588943329855E-2</v>
      </c>
      <c r="T71" s="73">
        <f t="shared" si="6"/>
        <v>3.6919569094882754E-2</v>
      </c>
      <c r="U71" s="73">
        <f t="shared" si="6"/>
        <v>3.6572405360721018E-2</v>
      </c>
      <c r="V71" s="73">
        <f t="shared" si="6"/>
        <v>3.5905589651592608E-2</v>
      </c>
      <c r="W71" s="73">
        <f t="shared" si="6"/>
        <v>3.5596707224996874E-2</v>
      </c>
      <c r="X71" s="73">
        <f t="shared" si="6"/>
        <v>3.4923783734936237E-2</v>
      </c>
      <c r="Y71" s="73">
        <f t="shared" si="6"/>
        <v>3.4522802797012447E-2</v>
      </c>
      <c r="Z71" s="73">
        <f t="shared" si="6"/>
        <v>3.4306323528030765E-2</v>
      </c>
      <c r="AA71" s="73">
        <f t="shared" si="6"/>
        <v>3.4038800289784725E-2</v>
      </c>
      <c r="AB71" s="73">
        <f t="shared" si="6"/>
        <v>3.6678953130618676E-2</v>
      </c>
      <c r="AC71" s="73">
        <f t="shared" si="6"/>
        <v>3.426582542394678E-2</v>
      </c>
      <c r="AD71" s="73">
        <f t="shared" si="6"/>
        <v>3.4101708105716159E-2</v>
      </c>
      <c r="AE71" s="73">
        <f t="shared" si="6"/>
        <v>3.3727559202653308E-2</v>
      </c>
      <c r="AF71" s="73">
        <f t="shared" si="6"/>
        <v>3.2738982348547087E-2</v>
      </c>
      <c r="AG71" s="73">
        <f t="shared" si="6"/>
        <v>3.1236860456353526E-2</v>
      </c>
      <c r="AH71" s="73">
        <f t="shared" si="6"/>
        <v>3.097547425000929E-2</v>
      </c>
    </row>
    <row r="72" spans="2:34">
      <c r="B72" t="s">
        <v>77</v>
      </c>
      <c r="C72" s="73">
        <f t="shared" si="4"/>
        <v>2.3637568326825252E-2</v>
      </c>
      <c r="D72" s="73">
        <f t="shared" si="4"/>
        <v>2.3563674685322736E-2</v>
      </c>
      <c r="E72" s="73">
        <f t="shared" si="4"/>
        <v>2.3490836565077784E-2</v>
      </c>
      <c r="F72" s="73">
        <f t="shared" si="4"/>
        <v>2.4088447207836608E-2</v>
      </c>
      <c r="G72" s="73">
        <f t="shared" si="4"/>
        <v>2.415904340365679E-2</v>
      </c>
      <c r="H72" s="73">
        <f t="shared" si="4"/>
        <v>2.4793037477710469E-2</v>
      </c>
      <c r="I72" s="73">
        <f t="shared" si="4"/>
        <v>2.4229342197000372E-2</v>
      </c>
      <c r="J72" s="73">
        <f t="shared" si="4"/>
        <v>2.4022771625137756E-2</v>
      </c>
      <c r="K72" s="73">
        <f t="shared" si="4"/>
        <v>2.4816383625305381E-2</v>
      </c>
      <c r="L72" s="73">
        <f t="shared" si="4"/>
        <v>2.3680520444805363E-2</v>
      </c>
      <c r="M72" s="73">
        <f t="shared" si="4"/>
        <v>2.401089471874536E-2</v>
      </c>
      <c r="N72" s="73">
        <f t="shared" si="4"/>
        <v>2.4066430495875764E-2</v>
      </c>
      <c r="O72" s="73">
        <f t="shared" si="4"/>
        <v>2.3140297627172027E-2</v>
      </c>
      <c r="P72" s="73">
        <f t="shared" si="4"/>
        <v>2.3745950981802658E-2</v>
      </c>
      <c r="Q72" s="73">
        <f t="shared" si="4"/>
        <v>2.3253310025492659E-2</v>
      </c>
      <c r="R72" s="73">
        <f t="shared" si="4"/>
        <v>2.3168576622032689E-2</v>
      </c>
      <c r="S72" s="73">
        <f t="shared" si="6"/>
        <v>2.2974770900670453E-2</v>
      </c>
      <c r="T72" s="73">
        <f t="shared" si="6"/>
        <v>2.254621909783178E-2</v>
      </c>
      <c r="U72" s="73">
        <f t="shared" si="6"/>
        <v>2.2464150001638518E-2</v>
      </c>
      <c r="V72" s="73">
        <f t="shared" si="6"/>
        <v>2.2160588902796225E-2</v>
      </c>
      <c r="W72" s="73">
        <f t="shared" si="6"/>
        <v>2.273986944964819E-2</v>
      </c>
      <c r="X72" s="73">
        <f t="shared" si="6"/>
        <v>2.2325006579538387E-2</v>
      </c>
      <c r="Y72" s="73">
        <f t="shared" si="6"/>
        <v>2.2100702789226125E-2</v>
      </c>
      <c r="Z72" s="73">
        <f t="shared" si="6"/>
        <v>2.2134835185778107E-2</v>
      </c>
      <c r="AA72" s="73">
        <f t="shared" si="6"/>
        <v>2.2163208540336751E-2</v>
      </c>
      <c r="AB72" s="73">
        <f t="shared" si="6"/>
        <v>2.2680454826202137E-2</v>
      </c>
      <c r="AC72" s="73">
        <f t="shared" si="6"/>
        <v>2.2470676687147913E-2</v>
      </c>
      <c r="AD72" s="73">
        <f t="shared" si="6"/>
        <v>2.2503551756982793E-2</v>
      </c>
      <c r="AE72" s="73">
        <f t="shared" si="6"/>
        <v>2.1956562518257703E-2</v>
      </c>
      <c r="AF72" s="73">
        <f t="shared" si="6"/>
        <v>2.1566409915695237E-2</v>
      </c>
      <c r="AG72" s="73">
        <f t="shared" si="6"/>
        <v>2.3012676699090434E-2</v>
      </c>
      <c r="AH72" s="73">
        <f t="shared" si="6"/>
        <v>2.2999976487416612E-2</v>
      </c>
    </row>
    <row r="73" spans="2:34">
      <c r="B73" t="s">
        <v>79</v>
      </c>
      <c r="C73" s="73">
        <f t="shared" si="4"/>
        <v>1.0778835603821497E-2</v>
      </c>
      <c r="D73" s="73">
        <f t="shared" si="4"/>
        <v>1.0645531223029844E-2</v>
      </c>
      <c r="E73" s="73">
        <f t="shared" si="4"/>
        <v>1.0421477555643722E-2</v>
      </c>
      <c r="F73" s="73">
        <f t="shared" si="4"/>
        <v>1.0281710085203314E-2</v>
      </c>
      <c r="G73" s="73">
        <f t="shared" si="4"/>
        <v>1.0309626353995443E-2</v>
      </c>
      <c r="H73" s="73">
        <f t="shared" si="4"/>
        <v>1.0166028071314811E-2</v>
      </c>
      <c r="I73" s="73">
        <f t="shared" si="4"/>
        <v>1.0529029571069231E-2</v>
      </c>
      <c r="J73" s="73">
        <f t="shared" si="4"/>
        <v>1.0317693934713275E-2</v>
      </c>
      <c r="K73" s="73">
        <f t="shared" si="4"/>
        <v>1.0409565932102793E-2</v>
      </c>
      <c r="L73" s="73">
        <f t="shared" si="4"/>
        <v>1.0823567422618875E-2</v>
      </c>
      <c r="M73" s="73">
        <f t="shared" si="4"/>
        <v>1.0201581909538598E-2</v>
      </c>
      <c r="N73" s="73">
        <f t="shared" si="4"/>
        <v>9.5383333365280584E-3</v>
      </c>
      <c r="O73" s="73">
        <f t="shared" si="4"/>
        <v>8.7359585381878366E-3</v>
      </c>
      <c r="P73" s="73">
        <f t="shared" si="4"/>
        <v>9.9331382322612877E-3</v>
      </c>
      <c r="Q73" s="73">
        <f t="shared" si="4"/>
        <v>9.3964496186295168E-3</v>
      </c>
      <c r="R73" s="73">
        <f t="shared" si="4"/>
        <v>8.2691515235531303E-3</v>
      </c>
      <c r="S73" s="73">
        <f t="shared" si="6"/>
        <v>9.2072924203977467E-3</v>
      </c>
      <c r="T73" s="73">
        <f t="shared" si="6"/>
        <v>9.3502422481231955E-3</v>
      </c>
      <c r="U73" s="73">
        <f t="shared" si="6"/>
        <v>9.5262512954079736E-3</v>
      </c>
      <c r="V73" s="73">
        <f t="shared" si="6"/>
        <v>9.6140686062690939E-3</v>
      </c>
      <c r="W73" s="73">
        <f t="shared" si="6"/>
        <v>9.6976590705800964E-3</v>
      </c>
      <c r="X73" s="73">
        <f t="shared" si="6"/>
        <v>9.6139836304878525E-3</v>
      </c>
      <c r="Y73" s="73">
        <f t="shared" si="6"/>
        <v>9.2261558919768446E-3</v>
      </c>
      <c r="Z73" s="73">
        <f t="shared" si="6"/>
        <v>9.5506769524996878E-3</v>
      </c>
      <c r="AA73" s="73">
        <f t="shared" si="6"/>
        <v>9.6882608105584161E-3</v>
      </c>
      <c r="AB73" s="73">
        <f t="shared" si="6"/>
        <v>9.0307474577536306E-3</v>
      </c>
      <c r="AC73" s="73">
        <f t="shared" si="6"/>
        <v>9.4996513370669659E-3</v>
      </c>
      <c r="AD73" s="73">
        <f t="shared" si="6"/>
        <v>9.0713686340084029E-3</v>
      </c>
      <c r="AE73" s="73">
        <f t="shared" si="6"/>
        <v>8.9085804825184429E-3</v>
      </c>
      <c r="AF73" s="73">
        <f t="shared" si="6"/>
        <v>9.4377528810701897E-3</v>
      </c>
      <c r="AG73" s="73">
        <f t="shared" si="6"/>
        <v>1.0063724132124453E-2</v>
      </c>
      <c r="AH73" s="73">
        <f t="shared" si="6"/>
        <v>9.3313693848803315E-3</v>
      </c>
    </row>
    <row r="74" spans="2:34">
      <c r="B74" t="s">
        <v>80</v>
      </c>
      <c r="C74" s="73">
        <f t="shared" si="4"/>
        <v>1.6250496122248614E-2</v>
      </c>
      <c r="D74" s="73">
        <f t="shared" si="4"/>
        <v>1.6672149156236236E-2</v>
      </c>
      <c r="E74" s="73">
        <f t="shared" si="4"/>
        <v>1.6849042246048523E-2</v>
      </c>
      <c r="F74" s="73">
        <f t="shared" si="4"/>
        <v>1.6627531175169363E-2</v>
      </c>
      <c r="G74" s="73">
        <f t="shared" si="4"/>
        <v>1.6490087596269638E-2</v>
      </c>
      <c r="H74" s="73">
        <f t="shared" si="4"/>
        <v>1.6751789838432868E-2</v>
      </c>
      <c r="I74" s="73">
        <f t="shared" si="4"/>
        <v>1.4863240525740102E-2</v>
      </c>
      <c r="J74" s="73">
        <f t="shared" si="4"/>
        <v>1.7004532004476977E-2</v>
      </c>
      <c r="K74" s="73">
        <f t="shared" si="4"/>
        <v>1.6624676832036833E-2</v>
      </c>
      <c r="L74" s="73">
        <f t="shared" si="4"/>
        <v>1.6469277666805972E-2</v>
      </c>
      <c r="M74" s="73">
        <f t="shared" si="4"/>
        <v>1.5680046463309658E-2</v>
      </c>
      <c r="N74" s="73">
        <f t="shared" si="4"/>
        <v>1.6082629480334853E-2</v>
      </c>
      <c r="O74" s="73">
        <f t="shared" si="4"/>
        <v>1.5513017216559481E-2</v>
      </c>
      <c r="P74" s="73">
        <f t="shared" si="4"/>
        <v>1.5924307359874872E-2</v>
      </c>
      <c r="Q74" s="73">
        <f t="shared" si="4"/>
        <v>1.6311970839344547E-2</v>
      </c>
      <c r="R74" s="73">
        <f t="shared" si="4"/>
        <v>1.5844459573196048E-2</v>
      </c>
      <c r="S74" s="73">
        <f t="shared" si="6"/>
        <v>1.5647189313045207E-2</v>
      </c>
      <c r="T74" s="73">
        <f t="shared" si="6"/>
        <v>1.5960226901443011E-2</v>
      </c>
      <c r="U74" s="73">
        <f t="shared" si="6"/>
        <v>1.5809062191695776E-2</v>
      </c>
      <c r="V74" s="73">
        <f t="shared" si="6"/>
        <v>1.6264848968555644E-2</v>
      </c>
      <c r="W74" s="73">
        <f t="shared" si="6"/>
        <v>1.6218252015838264E-2</v>
      </c>
      <c r="X74" s="73">
        <f t="shared" si="6"/>
        <v>1.6105157496540814E-2</v>
      </c>
      <c r="Y74" s="73">
        <f t="shared" si="6"/>
        <v>1.6024926317281578E-2</v>
      </c>
      <c r="Z74" s="73">
        <f t="shared" si="6"/>
        <v>1.5797511887612616E-2</v>
      </c>
      <c r="AA74" s="73">
        <f t="shared" si="6"/>
        <v>1.5471573749367046E-2</v>
      </c>
      <c r="AB74" s="73">
        <f t="shared" si="6"/>
        <v>1.5630529848359401E-2</v>
      </c>
      <c r="AC74" s="73">
        <f t="shared" si="6"/>
        <v>1.574327354662839E-2</v>
      </c>
      <c r="AD74" s="73">
        <f t="shared" si="6"/>
        <v>1.570758252573554E-2</v>
      </c>
      <c r="AE74" s="73">
        <f t="shared" si="6"/>
        <v>1.5741744813914611E-2</v>
      </c>
      <c r="AF74" s="73">
        <f t="shared" si="6"/>
        <v>1.5772118344842798E-2</v>
      </c>
      <c r="AG74" s="73">
        <f t="shared" si="6"/>
        <v>1.6396947922708193E-2</v>
      </c>
      <c r="AH74" s="73">
        <f t="shared" si="6"/>
        <v>1.6089193041854719E-2</v>
      </c>
    </row>
    <row r="75" spans="2:34">
      <c r="B75" t="s">
        <v>81</v>
      </c>
      <c r="C75" s="73">
        <f t="shared" si="4"/>
        <v>1.6350980507015393E-2</v>
      </c>
      <c r="D75" s="73">
        <f t="shared" si="4"/>
        <v>1.593486257509295E-2</v>
      </c>
      <c r="E75" s="73">
        <f t="shared" si="4"/>
        <v>1.6682021712417061E-2</v>
      </c>
      <c r="F75" s="73">
        <f t="shared" si="4"/>
        <v>1.67549721053393E-2</v>
      </c>
      <c r="G75" s="73">
        <f t="shared" si="4"/>
        <v>1.6266016398872006E-2</v>
      </c>
      <c r="H75" s="73">
        <f t="shared" si="4"/>
        <v>1.6437473914144581E-2</v>
      </c>
      <c r="I75" s="73">
        <f t="shared" si="4"/>
        <v>1.7482482785090955E-2</v>
      </c>
      <c r="J75" s="73">
        <f t="shared" si="4"/>
        <v>1.586259034462793E-2</v>
      </c>
      <c r="K75" s="73">
        <f t="shared" si="4"/>
        <v>1.6529387313255157E-2</v>
      </c>
      <c r="L75" s="73">
        <f t="shared" si="4"/>
        <v>1.6016384589838274E-2</v>
      </c>
      <c r="M75" s="73">
        <f t="shared" si="4"/>
        <v>1.6763285464592791E-2</v>
      </c>
      <c r="N75" s="73">
        <f t="shared" si="4"/>
        <v>1.6590085830837209E-2</v>
      </c>
      <c r="O75" s="73">
        <f t="shared" si="4"/>
        <v>1.6687281578378458E-2</v>
      </c>
      <c r="P75" s="73">
        <f t="shared" si="4"/>
        <v>1.6855354077547291E-2</v>
      </c>
      <c r="Q75" s="73">
        <f t="shared" si="4"/>
        <v>1.6128548228835173E-2</v>
      </c>
      <c r="R75" s="73">
        <f t="shared" si="4"/>
        <v>1.6548060694877235E-2</v>
      </c>
      <c r="S75" s="73">
        <f t="shared" si="6"/>
        <v>1.8739379008591649E-2</v>
      </c>
      <c r="T75" s="73">
        <f t="shared" si="6"/>
        <v>1.5985208890300424E-2</v>
      </c>
      <c r="U75" s="73">
        <f t="shared" si="6"/>
        <v>1.5838966836633429E-2</v>
      </c>
      <c r="V75" s="73">
        <f t="shared" si="6"/>
        <v>1.6752004829249562E-2</v>
      </c>
      <c r="W75" s="73">
        <f t="shared" si="6"/>
        <v>1.6571954818828474E-2</v>
      </c>
      <c r="X75" s="73">
        <f t="shared" si="6"/>
        <v>1.6907720634380775E-2</v>
      </c>
      <c r="Y75" s="73">
        <f t="shared" si="6"/>
        <v>1.6415892180762923E-2</v>
      </c>
      <c r="Z75" s="73">
        <f t="shared" si="6"/>
        <v>1.6691451003559815E-2</v>
      </c>
      <c r="AA75" s="73">
        <f t="shared" si="6"/>
        <v>1.6447120079949876E-2</v>
      </c>
      <c r="AB75" s="73">
        <f t="shared" si="6"/>
        <v>1.6478766719044323E-2</v>
      </c>
      <c r="AC75" s="73">
        <f t="shared" si="6"/>
        <v>1.570075340686165E-2</v>
      </c>
      <c r="AD75" s="73">
        <f t="shared" si="6"/>
        <v>1.5128546101059889E-2</v>
      </c>
      <c r="AE75" s="73">
        <f t="shared" si="6"/>
        <v>1.5053195506528963E-2</v>
      </c>
      <c r="AF75" s="73">
        <f t="shared" si="6"/>
        <v>1.5352712470071098E-2</v>
      </c>
      <c r="AG75" s="73">
        <f t="shared" si="6"/>
        <v>1.5584980628058971E-2</v>
      </c>
      <c r="AH75" s="73">
        <f t="shared" si="6"/>
        <v>1.5889386505966267E-2</v>
      </c>
    </row>
    <row r="76" spans="2:34">
      <c r="B76" t="s">
        <v>85</v>
      </c>
      <c r="C76" s="73">
        <f t="shared" si="4"/>
        <v>2.1352082676280252E-2</v>
      </c>
      <c r="D76" s="73">
        <f t="shared" si="4"/>
        <v>2.0901972178359318E-2</v>
      </c>
      <c r="E76" s="73">
        <f t="shared" si="4"/>
        <v>2.1066475172616193E-2</v>
      </c>
      <c r="F76" s="73">
        <f t="shared" si="4"/>
        <v>2.0756217905093511E-2</v>
      </c>
      <c r="G76" s="73">
        <f t="shared" si="4"/>
        <v>2.0657037330645299E-2</v>
      </c>
      <c r="H76" s="73">
        <f t="shared" si="4"/>
        <v>2.0851539364673839E-2</v>
      </c>
      <c r="I76" s="73">
        <f t="shared" si="4"/>
        <v>2.0894472595417077E-2</v>
      </c>
      <c r="J76" s="73">
        <f t="shared" si="4"/>
        <v>2.1041034150119899E-2</v>
      </c>
      <c r="K76" s="73">
        <f t="shared" si="4"/>
        <v>2.088044211257168E-2</v>
      </c>
      <c r="L76" s="73">
        <f t="shared" si="4"/>
        <v>2.0748067481697628E-2</v>
      </c>
      <c r="M76" s="73">
        <f t="shared" si="4"/>
        <v>2.1057083907058047E-2</v>
      </c>
      <c r="N76" s="73">
        <f t="shared" si="4"/>
        <v>2.0978301667049018E-2</v>
      </c>
      <c r="O76" s="73">
        <f t="shared" si="4"/>
        <v>2.0951627828145924E-2</v>
      </c>
      <c r="P76" s="73">
        <f t="shared" si="4"/>
        <v>2.0736194715039215E-2</v>
      </c>
      <c r="Q76" s="73">
        <f t="shared" si="4"/>
        <v>2.0700497317917919E-2</v>
      </c>
      <c r="R76" s="73">
        <f t="shared" si="4"/>
        <v>2.05824522679211E-2</v>
      </c>
      <c r="S76" s="73">
        <f t="shared" si="6"/>
        <v>2.0497178928220037E-2</v>
      </c>
      <c r="T76" s="73">
        <f t="shared" si="6"/>
        <v>2.1075981423118381E-2</v>
      </c>
      <c r="U76" s="73">
        <f t="shared" si="6"/>
        <v>2.0855272542767839E-2</v>
      </c>
      <c r="V76" s="73">
        <f t="shared" si="6"/>
        <v>2.0401423320229893E-2</v>
      </c>
      <c r="W76" s="73">
        <f t="shared" si="6"/>
        <v>2.0441171392133823E-2</v>
      </c>
      <c r="X76" s="73">
        <f t="shared" si="6"/>
        <v>2.0759400573791966E-2</v>
      </c>
      <c r="Y76" s="73">
        <f t="shared" si="6"/>
        <v>2.0825830706992465E-2</v>
      </c>
      <c r="Z76" s="73">
        <f t="shared" si="6"/>
        <v>2.0428252533988334E-2</v>
      </c>
      <c r="AA76" s="73">
        <f t="shared" si="6"/>
        <v>1.9842820910888851E-2</v>
      </c>
      <c r="AB76" s="73">
        <f t="shared" si="6"/>
        <v>2.0183890596571399E-2</v>
      </c>
      <c r="AC76" s="73">
        <f t="shared" si="6"/>
        <v>2.0029176753366171E-2</v>
      </c>
      <c r="AD76" s="73">
        <f t="shared" si="6"/>
        <v>1.9708066130240533E-2</v>
      </c>
      <c r="AE76" s="73">
        <f t="shared" si="6"/>
        <v>1.9841024216392784E-2</v>
      </c>
      <c r="AF76" s="73">
        <f t="shared" si="6"/>
        <v>1.9537636604721204E-2</v>
      </c>
      <c r="AG76" s="73">
        <f t="shared" si="6"/>
        <v>1.7988499000622833E-2</v>
      </c>
      <c r="AH76" s="73">
        <f t="shared" si="6"/>
        <v>1.8451544417174452E-2</v>
      </c>
    </row>
    <row r="77" spans="2:34">
      <c r="B77" t="s">
        <v>83</v>
      </c>
      <c r="C77" s="73">
        <f t="shared" si="4"/>
        <v>1.7940635074458873E-2</v>
      </c>
      <c r="D77" s="73">
        <f t="shared" si="4"/>
        <v>1.8421628288838122E-2</v>
      </c>
      <c r="E77" s="73">
        <f t="shared" si="4"/>
        <v>1.8453259378004721E-2</v>
      </c>
      <c r="F77" s="73">
        <f t="shared" si="4"/>
        <v>1.8314570736965404E-2</v>
      </c>
      <c r="G77" s="73">
        <f t="shared" si="4"/>
        <v>1.8423050691014704E-2</v>
      </c>
      <c r="H77" s="73">
        <f t="shared" si="4"/>
        <v>1.8245947999260485E-2</v>
      </c>
      <c r="I77" s="73">
        <f t="shared" si="4"/>
        <v>1.80762673932762E-2</v>
      </c>
      <c r="J77" s="73">
        <f t="shared" si="4"/>
        <v>1.8482513960452605E-2</v>
      </c>
      <c r="K77" s="73">
        <f t="shared" si="4"/>
        <v>1.8282908534444316E-2</v>
      </c>
      <c r="L77" s="73">
        <f t="shared" si="4"/>
        <v>1.8611414462124089E-2</v>
      </c>
      <c r="M77" s="73">
        <f t="shared" si="4"/>
        <v>1.8530610499916479E-2</v>
      </c>
      <c r="N77" s="73">
        <f t="shared" si="4"/>
        <v>1.8973668641302229E-2</v>
      </c>
      <c r="O77" s="73">
        <f t="shared" si="4"/>
        <v>1.8839698435999218E-2</v>
      </c>
      <c r="P77" s="73">
        <f t="shared" si="4"/>
        <v>1.9118704278524766E-2</v>
      </c>
      <c r="Q77" s="73">
        <f t="shared" si="4"/>
        <v>1.9230815315152604E-2</v>
      </c>
      <c r="R77" s="73">
        <f t="shared" si="4"/>
        <v>1.9460034261549984E-2</v>
      </c>
      <c r="S77" s="73">
        <f t="shared" si="6"/>
        <v>1.9596901172619377E-2</v>
      </c>
      <c r="T77" s="73">
        <f t="shared" si="6"/>
        <v>1.9635444475329163E-2</v>
      </c>
      <c r="U77" s="73">
        <f t="shared" si="6"/>
        <v>1.9865553555544327E-2</v>
      </c>
      <c r="V77" s="73">
        <f t="shared" si="6"/>
        <v>2.1164746511303598E-2</v>
      </c>
      <c r="W77" s="73">
        <f t="shared" si="6"/>
        <v>1.9604156767327928E-2</v>
      </c>
      <c r="X77" s="73">
        <f t="shared" si="6"/>
        <v>1.9826728297466237E-2</v>
      </c>
      <c r="Y77" s="73">
        <f t="shared" si="6"/>
        <v>2.0295047061816042E-2</v>
      </c>
      <c r="Z77" s="73">
        <f t="shared" si="6"/>
        <v>2.0903710579631165E-2</v>
      </c>
      <c r="AA77" s="73">
        <f t="shared" si="6"/>
        <v>1.989806457154087E-2</v>
      </c>
      <c r="AB77" s="73">
        <f t="shared" si="6"/>
        <v>2.0506003279485877E-2</v>
      </c>
      <c r="AC77" s="73">
        <f t="shared" si="6"/>
        <v>1.9401621095819985E-2</v>
      </c>
      <c r="AD77" s="73">
        <f t="shared" si="6"/>
        <v>1.9212022659877696E-2</v>
      </c>
      <c r="AE77" s="73">
        <f t="shared" si="6"/>
        <v>1.9116195026843898E-2</v>
      </c>
      <c r="AF77" s="73">
        <f t="shared" si="6"/>
        <v>1.9123911386345897E-2</v>
      </c>
      <c r="AG77" s="73">
        <f t="shared" si="6"/>
        <v>1.7519121452820013E-2</v>
      </c>
      <c r="AH77" s="73">
        <f t="shared" si="6"/>
        <v>1.8344826301158711E-2</v>
      </c>
    </row>
    <row r="78" spans="2:34">
      <c r="B78" t="s">
        <v>82</v>
      </c>
      <c r="C78" s="73">
        <f t="shared" si="4"/>
        <v>5.275877568496277E-3</v>
      </c>
      <c r="D78" s="73">
        <f t="shared" si="4"/>
        <v>5.3193091318099531E-3</v>
      </c>
      <c r="E78" s="73">
        <f t="shared" si="4"/>
        <v>5.271892532960243E-3</v>
      </c>
      <c r="F78" s="73">
        <f t="shared" si="4"/>
        <v>5.2737108486876219E-3</v>
      </c>
      <c r="G78" s="73">
        <f t="shared" si="4"/>
        <v>5.2278928383842254E-3</v>
      </c>
      <c r="H78" s="73">
        <f t="shared" si="4"/>
        <v>5.0481132988883723E-3</v>
      </c>
      <c r="I78" s="73">
        <f t="shared" si="4"/>
        <v>5.1809016526316032E-3</v>
      </c>
      <c r="J78" s="73">
        <f t="shared" si="4"/>
        <v>5.476034609074542E-3</v>
      </c>
      <c r="K78" s="73">
        <f t="shared" si="4"/>
        <v>5.1006678189732032E-3</v>
      </c>
      <c r="L78" s="73">
        <f t="shared" si="4"/>
        <v>5.2704056033562327E-3</v>
      </c>
      <c r="M78" s="73">
        <f t="shared" si="4"/>
        <v>5.2847754169219182E-3</v>
      </c>
      <c r="N78" s="73">
        <f t="shared" si="4"/>
        <v>4.5503045258477107E-3</v>
      </c>
      <c r="O78" s="73">
        <f t="shared" si="4"/>
        <v>5.2575565025596042E-3</v>
      </c>
      <c r="P78" s="73">
        <f t="shared" si="4"/>
        <v>5.6506768807903533E-3</v>
      </c>
      <c r="Q78" s="73">
        <f t="shared" si="4"/>
        <v>5.1384200206882292E-3</v>
      </c>
      <c r="R78" s="73">
        <f t="shared" si="4"/>
        <v>5.2231970935140929E-3</v>
      </c>
      <c r="S78" s="73">
        <f t="shared" si="6"/>
        <v>5.0621730453398756E-3</v>
      </c>
      <c r="T78" s="73">
        <f t="shared" si="6"/>
        <v>4.9532792870195025E-3</v>
      </c>
      <c r="U78" s="73">
        <f t="shared" si="6"/>
        <v>4.8180579474440726E-3</v>
      </c>
      <c r="V78" s="73">
        <f t="shared" si="6"/>
        <v>4.8638551107171831E-3</v>
      </c>
      <c r="W78" s="73">
        <f t="shared" si="6"/>
        <v>4.8968010247757076E-3</v>
      </c>
      <c r="X78" s="73">
        <f t="shared" si="6"/>
        <v>4.9820068888218249E-3</v>
      </c>
      <c r="Y78" s="73">
        <f t="shared" si="6"/>
        <v>4.833088370268219E-3</v>
      </c>
      <c r="Z78" s="73">
        <f t="shared" si="6"/>
        <v>5.4524855704724644E-3</v>
      </c>
      <c r="AA78" s="73">
        <f t="shared" si="6"/>
        <v>5.6550192644890191E-3</v>
      </c>
      <c r="AB78" s="73">
        <f t="shared" si="6"/>
        <v>5.4571395034429425E-3</v>
      </c>
      <c r="AC78" s="73">
        <f t="shared" si="6"/>
        <v>5.4766220339703608E-3</v>
      </c>
      <c r="AD78" s="73">
        <f t="shared" si="6"/>
        <v>4.4177469608754705E-3</v>
      </c>
      <c r="AE78" s="73">
        <f t="shared" si="6"/>
        <v>4.3835333875738508E-3</v>
      </c>
      <c r="AF78" s="73">
        <f t="shared" si="6"/>
        <v>4.3597237375538507E-3</v>
      </c>
      <c r="AG78" s="73">
        <f t="shared" si="6"/>
        <v>4.5649493154123989E-3</v>
      </c>
      <c r="AH78" s="73">
        <f t="shared" si="6"/>
        <v>4.6520860257704272E-3</v>
      </c>
    </row>
    <row r="79" spans="2:34">
      <c r="B79" t="s">
        <v>86</v>
      </c>
      <c r="C79" s="73">
        <f t="shared" si="4"/>
        <v>3.7834881604816885E-2</v>
      </c>
      <c r="D79" s="73">
        <f t="shared" si="4"/>
        <v>3.860320708311088E-2</v>
      </c>
      <c r="E79" s="73">
        <f t="shared" si="4"/>
        <v>3.8150229252465563E-2</v>
      </c>
      <c r="F79" s="73">
        <f t="shared" si="4"/>
        <v>3.8514415640139327E-2</v>
      </c>
      <c r="G79" s="73">
        <f t="shared" si="4"/>
        <v>3.7888251585179888E-2</v>
      </c>
      <c r="H79" s="73">
        <f t="shared" si="4"/>
        <v>3.8832351109595695E-2</v>
      </c>
      <c r="I79" s="73">
        <f t="shared" si="4"/>
        <v>3.8197487944539185E-2</v>
      </c>
      <c r="J79" s="73">
        <f t="shared" si="4"/>
        <v>3.8474530192058855E-2</v>
      </c>
      <c r="K79" s="73">
        <f t="shared" si="4"/>
        <v>3.8584251492730121E-2</v>
      </c>
      <c r="L79" s="73">
        <f t="shared" si="4"/>
        <v>3.9277916605161903E-2</v>
      </c>
      <c r="M79" s="73">
        <f t="shared" si="4"/>
        <v>3.8059173492792704E-2</v>
      </c>
      <c r="N79" s="73">
        <f t="shared" si="4"/>
        <v>3.7820866464397106E-2</v>
      </c>
      <c r="O79" s="73">
        <f t="shared" si="4"/>
        <v>3.7586575803557919E-2</v>
      </c>
      <c r="P79" s="73">
        <f t="shared" si="4"/>
        <v>3.6409340578331749E-2</v>
      </c>
      <c r="Q79" s="73">
        <f t="shared" si="4"/>
        <v>3.5604242146016256E-2</v>
      </c>
      <c r="R79" s="73">
        <f t="shared" si="4"/>
        <v>3.5618232911294227E-2</v>
      </c>
      <c r="S79" s="73">
        <f t="shared" si="6"/>
        <v>3.4845851630384179E-2</v>
      </c>
      <c r="T79" s="73">
        <f t="shared" si="6"/>
        <v>3.4024951904133023E-2</v>
      </c>
      <c r="U79" s="73">
        <f t="shared" si="6"/>
        <v>3.3674407087674565E-2</v>
      </c>
      <c r="V79" s="73">
        <f t="shared" si="6"/>
        <v>3.3381754270702828E-2</v>
      </c>
      <c r="W79" s="73">
        <f t="shared" si="6"/>
        <v>3.3099916454080308E-2</v>
      </c>
      <c r="X79" s="73">
        <f t="shared" si="6"/>
        <v>3.3204126376285975E-2</v>
      </c>
      <c r="Y79" s="73">
        <f t="shared" si="6"/>
        <v>3.3223552151433036E-2</v>
      </c>
      <c r="Z79" s="73">
        <f t="shared" si="6"/>
        <v>3.3937256522155741E-2</v>
      </c>
      <c r="AA79" s="73">
        <f t="shared" si="6"/>
        <v>3.2595511109123676E-2</v>
      </c>
      <c r="AB79" s="73">
        <f t="shared" si="6"/>
        <v>3.2916654006113724E-2</v>
      </c>
      <c r="AC79" s="73">
        <f t="shared" si="6"/>
        <v>3.2824942998558468E-2</v>
      </c>
      <c r="AD79" s="73">
        <f t="shared" si="6"/>
        <v>3.2491220551636404E-2</v>
      </c>
      <c r="AE79" s="73">
        <f t="shared" si="6"/>
        <v>3.2601057778017709E-2</v>
      </c>
      <c r="AF79" s="73">
        <f t="shared" si="6"/>
        <v>3.2199180362854171E-2</v>
      </c>
      <c r="AG79" s="73">
        <f t="shared" si="6"/>
        <v>3.1604874287328208E-2</v>
      </c>
      <c r="AH79" s="73">
        <f t="shared" si="6"/>
        <v>3.1478896424680915E-2</v>
      </c>
    </row>
    <row r="80" spans="2:34">
      <c r="B80" t="s">
        <v>87</v>
      </c>
      <c r="C80" s="73">
        <f t="shared" si="4"/>
        <v>1.7096469464798585E-2</v>
      </c>
      <c r="D80" s="73">
        <f t="shared" si="4"/>
        <v>1.7808561842936412E-2</v>
      </c>
      <c r="E80" s="73">
        <f t="shared" si="4"/>
        <v>1.8127229168815623E-2</v>
      </c>
      <c r="F80" s="73">
        <f t="shared" si="4"/>
        <v>1.8495439029341747E-2</v>
      </c>
      <c r="G80" s="73">
        <f t="shared" si="4"/>
        <v>1.8623375752875464E-2</v>
      </c>
      <c r="H80" s="73">
        <f t="shared" si="4"/>
        <v>1.8806358752784434E-2</v>
      </c>
      <c r="I80" s="73">
        <f t="shared" si="4"/>
        <v>1.8915787426281673E-2</v>
      </c>
      <c r="J80" s="73">
        <f t="shared" si="4"/>
        <v>1.8261962709995316E-2</v>
      </c>
      <c r="K80" s="73">
        <f t="shared" si="4"/>
        <v>1.8714967348142573E-2</v>
      </c>
      <c r="L80" s="73">
        <f t="shared" si="4"/>
        <v>1.9215258952434786E-2</v>
      </c>
      <c r="M80" s="73">
        <f t="shared" si="4"/>
        <v>1.9514267466758439E-2</v>
      </c>
      <c r="N80" s="73">
        <f t="shared" si="4"/>
        <v>1.9629002004228357E-2</v>
      </c>
      <c r="O80" s="73">
        <f t="shared" si="4"/>
        <v>1.9459322879745028E-2</v>
      </c>
      <c r="P80" s="73">
        <f t="shared" si="4"/>
        <v>1.9432011812129269E-2</v>
      </c>
      <c r="Q80" s="73">
        <f t="shared" si="4"/>
        <v>1.9377009636022458E-2</v>
      </c>
      <c r="R80" s="73">
        <f t="shared" si="4"/>
        <v>1.9210848054182626E-2</v>
      </c>
      <c r="S80" s="73">
        <f t="shared" si="6"/>
        <v>1.8572435666647742E-2</v>
      </c>
      <c r="T80" s="73">
        <f t="shared" si="6"/>
        <v>1.8584118495532497E-2</v>
      </c>
      <c r="U80" s="73">
        <f t="shared" si="6"/>
        <v>1.8945276858866301E-2</v>
      </c>
      <c r="V80" s="73">
        <f t="shared" si="6"/>
        <v>1.8314663551645627E-2</v>
      </c>
      <c r="W80" s="73">
        <f t="shared" si="6"/>
        <v>1.8342241124193873E-2</v>
      </c>
      <c r="X80" s="73">
        <f t="shared" si="6"/>
        <v>1.798019929353023E-2</v>
      </c>
      <c r="Y80" s="73">
        <f t="shared" si="6"/>
        <v>1.8555515896262951E-2</v>
      </c>
      <c r="Z80" s="73">
        <f t="shared" si="6"/>
        <v>1.8198473341512093E-2</v>
      </c>
      <c r="AA80" s="73">
        <f t="shared" si="6"/>
        <v>1.8187093878262995E-2</v>
      </c>
      <c r="AB80" s="73">
        <f t="shared" si="6"/>
        <v>1.7567712816260073E-2</v>
      </c>
      <c r="AC80" s="73">
        <f t="shared" si="6"/>
        <v>1.8124666940018151E-2</v>
      </c>
      <c r="AD80" s="73">
        <f t="shared" si="6"/>
        <v>1.8181665390767324E-2</v>
      </c>
      <c r="AE80" s="73">
        <f t="shared" si="6"/>
        <v>1.7747179954045435E-2</v>
      </c>
      <c r="AF80" s="73">
        <f t="shared" si="6"/>
        <v>1.7719172510761352E-2</v>
      </c>
      <c r="AG80" s="73">
        <f t="shared" si="6"/>
        <v>1.7649747173218815E-2</v>
      </c>
      <c r="AH80" s="73">
        <f t="shared" si="6"/>
        <v>1.702778806469462E-2</v>
      </c>
    </row>
    <row r="81" spans="2:34">
      <c r="B81" t="s">
        <v>89</v>
      </c>
      <c r="C81" s="73">
        <f t="shared" si="4"/>
        <v>2.4510730702433144E-2</v>
      </c>
      <c r="D81" s="73">
        <f t="shared" si="4"/>
        <v>2.4643124957153088E-2</v>
      </c>
      <c r="E81" s="73">
        <f t="shared" si="4"/>
        <v>2.4815673895323173E-2</v>
      </c>
      <c r="F81" s="73">
        <f t="shared" si="4"/>
        <v>2.3989703800393052E-2</v>
      </c>
      <c r="G81" s="73">
        <f t="shared" si="4"/>
        <v>2.4075555898372798E-2</v>
      </c>
      <c r="H81" s="73">
        <f t="shared" si="4"/>
        <v>2.3961869447991564E-2</v>
      </c>
      <c r="I81" s="73">
        <f t="shared" si="4"/>
        <v>2.3947443862102406E-2</v>
      </c>
      <c r="J81" s="73">
        <f t="shared" ref="J81:AH96" si="7">SUMIF($B$3:$B$53,$B81,J$3:J$53)/J$54</f>
        <v>2.3880582921097581E-2</v>
      </c>
      <c r="K81" s="73">
        <f t="shared" si="7"/>
        <v>2.3747516233221522E-2</v>
      </c>
      <c r="L81" s="73">
        <f t="shared" si="7"/>
        <v>2.2975754285586278E-2</v>
      </c>
      <c r="M81" s="73">
        <f t="shared" si="7"/>
        <v>2.3713491710957518E-2</v>
      </c>
      <c r="N81" s="73">
        <f t="shared" si="7"/>
        <v>2.2816412083248361E-2</v>
      </c>
      <c r="O81" s="73">
        <f t="shared" si="7"/>
        <v>2.262284329878932E-2</v>
      </c>
      <c r="P81" s="73">
        <f t="shared" si="7"/>
        <v>2.3363931485906767E-2</v>
      </c>
      <c r="Q81" s="73">
        <f t="shared" si="7"/>
        <v>2.2918380001595979E-2</v>
      </c>
      <c r="R81" s="73">
        <f t="shared" si="7"/>
        <v>2.2814112866955893E-2</v>
      </c>
      <c r="S81" s="73">
        <f t="shared" si="7"/>
        <v>2.2676957624833072E-2</v>
      </c>
      <c r="T81" s="73">
        <f t="shared" si="7"/>
        <v>2.3057718488963184E-2</v>
      </c>
      <c r="U81" s="73">
        <f t="shared" si="7"/>
        <v>2.3694036179040191E-2</v>
      </c>
      <c r="V81" s="73">
        <f t="shared" si="7"/>
        <v>2.3498755407653109E-2</v>
      </c>
      <c r="W81" s="73">
        <f t="shared" si="7"/>
        <v>2.3488030257140195E-2</v>
      </c>
      <c r="X81" s="73">
        <f t="shared" si="7"/>
        <v>2.3218402350124498E-2</v>
      </c>
      <c r="Y81" s="73">
        <f t="shared" si="7"/>
        <v>2.299960885083905E-2</v>
      </c>
      <c r="Z81" s="73">
        <f t="shared" si="7"/>
        <v>2.2797736132109996E-2</v>
      </c>
      <c r="AA81" s="73">
        <f t="shared" si="7"/>
        <v>2.2908158935509262E-2</v>
      </c>
      <c r="AB81" s="73">
        <f t="shared" si="7"/>
        <v>2.2339777769351584E-2</v>
      </c>
      <c r="AC81" s="73">
        <f t="shared" si="7"/>
        <v>2.2642026063709644E-2</v>
      </c>
      <c r="AD81" s="73">
        <f t="shared" si="7"/>
        <v>2.2427424993297519E-2</v>
      </c>
      <c r="AE81" s="73">
        <f t="shared" si="7"/>
        <v>2.2174049697808163E-2</v>
      </c>
      <c r="AF81" s="73">
        <f t="shared" si="7"/>
        <v>2.2000910316001467E-2</v>
      </c>
      <c r="AG81" s="73">
        <f t="shared" si="7"/>
        <v>2.3544305300248626E-2</v>
      </c>
      <c r="AH81" s="73">
        <f t="shared" si="7"/>
        <v>2.3278497039675765E-2</v>
      </c>
    </row>
    <row r="82" spans="2:34">
      <c r="B82" t="s">
        <v>88</v>
      </c>
      <c r="C82" s="73">
        <f t="shared" ref="C82:R97" si="8">SUMIF($B$3:$B$53,$B82,C$3:C$53)/C$54</f>
        <v>1.0924202892051248E-2</v>
      </c>
      <c r="D82" s="73">
        <f t="shared" si="8"/>
        <v>1.1235495781788155E-2</v>
      </c>
      <c r="E82" s="73">
        <f t="shared" si="8"/>
        <v>1.1349376417776575E-2</v>
      </c>
      <c r="F82" s="73">
        <f t="shared" si="8"/>
        <v>1.1673891838385828E-2</v>
      </c>
      <c r="G82" s="73">
        <f t="shared" si="8"/>
        <v>1.1790496568346284E-2</v>
      </c>
      <c r="H82" s="73">
        <f t="shared" si="8"/>
        <v>1.1921281843110173E-2</v>
      </c>
      <c r="I82" s="73">
        <f t="shared" si="8"/>
        <v>1.1781879450194578E-2</v>
      </c>
      <c r="J82" s="73">
        <f t="shared" si="8"/>
        <v>1.2047722650199986E-2</v>
      </c>
      <c r="K82" s="73">
        <f t="shared" si="8"/>
        <v>1.2166936586806105E-2</v>
      </c>
      <c r="L82" s="73">
        <f t="shared" si="8"/>
        <v>1.2300606107907099E-2</v>
      </c>
      <c r="M82" s="73">
        <f t="shared" si="8"/>
        <v>1.1798095674490186E-2</v>
      </c>
      <c r="N82" s="73">
        <f t="shared" si="8"/>
        <v>1.1385357859540869E-2</v>
      </c>
      <c r="O82" s="73">
        <f t="shared" si="8"/>
        <v>1.1556745755166031E-2</v>
      </c>
      <c r="P82" s="73">
        <f t="shared" si="8"/>
        <v>1.170824801282346E-2</v>
      </c>
      <c r="Q82" s="73">
        <f t="shared" si="8"/>
        <v>1.1574201964893005E-2</v>
      </c>
      <c r="R82" s="73">
        <f t="shared" si="8"/>
        <v>1.1661513546104453E-2</v>
      </c>
      <c r="S82" s="73">
        <f t="shared" si="7"/>
        <v>1.1671164038223721E-2</v>
      </c>
      <c r="T82" s="73">
        <f t="shared" si="7"/>
        <v>1.1990143582633275E-2</v>
      </c>
      <c r="U82" s="73">
        <f t="shared" si="7"/>
        <v>1.215066932493126E-2</v>
      </c>
      <c r="V82" s="73">
        <f t="shared" si="7"/>
        <v>1.1575879772557585E-2</v>
      </c>
      <c r="W82" s="73">
        <f t="shared" si="7"/>
        <v>1.2021543094826765E-2</v>
      </c>
      <c r="X82" s="73">
        <f t="shared" si="7"/>
        <v>1.1844083211131931E-2</v>
      </c>
      <c r="Y82" s="73">
        <f t="shared" si="7"/>
        <v>1.220958950493683E-2</v>
      </c>
      <c r="Z82" s="73">
        <f t="shared" si="7"/>
        <v>1.1919360847050897E-2</v>
      </c>
      <c r="AA82" s="73">
        <f t="shared" si="7"/>
        <v>1.2359770669408465E-2</v>
      </c>
      <c r="AB82" s="73">
        <f t="shared" si="7"/>
        <v>1.2153033174182126E-2</v>
      </c>
      <c r="AC82" s="73">
        <f t="shared" si="7"/>
        <v>1.2402558228192563E-2</v>
      </c>
      <c r="AD82" s="73">
        <f t="shared" si="7"/>
        <v>1.2133800518108407E-2</v>
      </c>
      <c r="AE82" s="73">
        <f t="shared" si="7"/>
        <v>1.1787799220452472E-2</v>
      </c>
      <c r="AF82" s="73">
        <f t="shared" si="7"/>
        <v>1.2262339855461761E-2</v>
      </c>
      <c r="AG82" s="73">
        <f t="shared" si="7"/>
        <v>1.3334271150270853E-2</v>
      </c>
      <c r="AH82" s="73">
        <f t="shared" si="7"/>
        <v>1.2864369699045992E-2</v>
      </c>
    </row>
    <row r="83" spans="2:34">
      <c r="B83" t="s">
        <v>90</v>
      </c>
      <c r="C83" s="73">
        <f t="shared" si="8"/>
        <v>3.749840590827001E-3</v>
      </c>
      <c r="D83" s="73">
        <f t="shared" si="8"/>
        <v>3.7983839280106278E-3</v>
      </c>
      <c r="E83" s="73">
        <f t="shared" si="8"/>
        <v>3.8965120048114889E-3</v>
      </c>
      <c r="F83" s="73">
        <f t="shared" si="8"/>
        <v>3.8845730387495384E-3</v>
      </c>
      <c r="G83" s="73">
        <f t="shared" si="8"/>
        <v>3.8434507790802786E-3</v>
      </c>
      <c r="H83" s="73">
        <f t="shared" si="8"/>
        <v>3.8196808308615217E-3</v>
      </c>
      <c r="I83" s="73">
        <f t="shared" si="8"/>
        <v>3.9018708976077741E-3</v>
      </c>
      <c r="J83" s="73">
        <f t="shared" si="8"/>
        <v>3.7558621936120144E-3</v>
      </c>
      <c r="K83" s="73">
        <f t="shared" si="8"/>
        <v>3.7641765814707901E-3</v>
      </c>
      <c r="L83" s="73">
        <f t="shared" si="8"/>
        <v>3.734202725650925E-3</v>
      </c>
      <c r="M83" s="73">
        <f t="shared" si="8"/>
        <v>3.6442435643349196E-3</v>
      </c>
      <c r="N83" s="73">
        <f t="shared" si="8"/>
        <v>3.6054863152707056E-3</v>
      </c>
      <c r="O83" s="73">
        <f t="shared" si="8"/>
        <v>3.5803690743486079E-3</v>
      </c>
      <c r="P83" s="73">
        <f t="shared" si="8"/>
        <v>3.5366866246531628E-3</v>
      </c>
      <c r="Q83" s="73">
        <f t="shared" si="8"/>
        <v>3.47791371990647E-3</v>
      </c>
      <c r="R83" s="73">
        <f t="shared" si="8"/>
        <v>3.4099760933190954E-3</v>
      </c>
      <c r="S83" s="73">
        <f t="shared" si="7"/>
        <v>3.4167613711054449E-3</v>
      </c>
      <c r="T83" s="73">
        <f t="shared" si="7"/>
        <v>3.4820594649463523E-3</v>
      </c>
      <c r="U83" s="73">
        <f t="shared" si="7"/>
        <v>3.4722506293245387E-3</v>
      </c>
      <c r="V83" s="73">
        <f t="shared" si="7"/>
        <v>3.5501306558849218E-3</v>
      </c>
      <c r="W83" s="73">
        <f t="shared" si="7"/>
        <v>3.5942722624839577E-3</v>
      </c>
      <c r="X83" s="73">
        <f t="shared" si="7"/>
        <v>3.6376473595496799E-3</v>
      </c>
      <c r="Y83" s="73">
        <f t="shared" si="7"/>
        <v>3.7256890753295697E-3</v>
      </c>
      <c r="Z83" s="73">
        <f t="shared" si="7"/>
        <v>3.7472052930688526E-3</v>
      </c>
      <c r="AA83" s="73">
        <f t="shared" si="7"/>
        <v>3.7486183510772601E-3</v>
      </c>
      <c r="AB83" s="73">
        <f t="shared" si="7"/>
        <v>3.653378048262487E-3</v>
      </c>
      <c r="AC83" s="73">
        <f t="shared" si="7"/>
        <v>3.6241558684457858E-3</v>
      </c>
      <c r="AD83" s="73">
        <f t="shared" si="7"/>
        <v>3.6237226427942595E-3</v>
      </c>
      <c r="AE83" s="73">
        <f t="shared" si="7"/>
        <v>3.5523915820240143E-3</v>
      </c>
      <c r="AF83" s="73">
        <f t="shared" si="7"/>
        <v>3.5642995628672436E-3</v>
      </c>
      <c r="AG83" s="73">
        <f t="shared" si="7"/>
        <v>3.8601026167548826E-3</v>
      </c>
      <c r="AH83" s="73">
        <f t="shared" si="7"/>
        <v>3.9210549071417022E-3</v>
      </c>
    </row>
    <row r="84" spans="2:34">
      <c r="B84" t="s">
        <v>98</v>
      </c>
      <c r="C84" s="73">
        <f t="shared" si="8"/>
        <v>2.9315310394675931E-2</v>
      </c>
      <c r="D84" s="73">
        <f t="shared" si="8"/>
        <v>2.9390956599940423E-2</v>
      </c>
      <c r="E84" s="73">
        <f t="shared" si="8"/>
        <v>2.9077531490399239E-2</v>
      </c>
      <c r="F84" s="73">
        <f t="shared" si="8"/>
        <v>2.9946595159454591E-2</v>
      </c>
      <c r="G84" s="73">
        <f t="shared" si="8"/>
        <v>3.0182695436379154E-2</v>
      </c>
      <c r="H84" s="73">
        <f t="shared" si="8"/>
        <v>3.0478385009688063E-2</v>
      </c>
      <c r="I84" s="73">
        <f t="shared" si="8"/>
        <v>3.0516450701912713E-2</v>
      </c>
      <c r="J84" s="73">
        <f t="shared" si="8"/>
        <v>3.1155813988697684E-2</v>
      </c>
      <c r="K84" s="73">
        <f t="shared" si="8"/>
        <v>3.129937499955892E-2</v>
      </c>
      <c r="L84" s="73">
        <f t="shared" si="8"/>
        <v>3.1699773499866538E-2</v>
      </c>
      <c r="M84" s="73">
        <f t="shared" si="8"/>
        <v>3.1555761710079747E-2</v>
      </c>
      <c r="N84" s="73">
        <f t="shared" si="8"/>
        <v>3.1311895167746455E-2</v>
      </c>
      <c r="O84" s="73">
        <f t="shared" si="8"/>
        <v>3.1135349837763199E-2</v>
      </c>
      <c r="P84" s="73">
        <f t="shared" si="8"/>
        <v>3.1319872047645442E-2</v>
      </c>
      <c r="Q84" s="73">
        <f t="shared" si="8"/>
        <v>3.1355482978467485E-2</v>
      </c>
      <c r="R84" s="73">
        <f t="shared" si="8"/>
        <v>3.1247050836035482E-2</v>
      </c>
      <c r="S84" s="73">
        <f t="shared" si="7"/>
        <v>3.1230152533632205E-2</v>
      </c>
      <c r="T84" s="73">
        <f t="shared" si="7"/>
        <v>3.1725848318889749E-2</v>
      </c>
      <c r="U84" s="73">
        <f t="shared" si="7"/>
        <v>3.2130843490490724E-2</v>
      </c>
      <c r="V84" s="73">
        <f t="shared" si="7"/>
        <v>3.2080352400647522E-2</v>
      </c>
      <c r="W84" s="73">
        <f t="shared" si="7"/>
        <v>3.2481970384922482E-2</v>
      </c>
      <c r="X84" s="73">
        <f t="shared" si="7"/>
        <v>3.2312993042124351E-2</v>
      </c>
      <c r="Y84" s="73">
        <f t="shared" si="7"/>
        <v>3.1360043160443982E-2</v>
      </c>
      <c r="Z84" s="73">
        <f t="shared" si="7"/>
        <v>3.1819306353726359E-2</v>
      </c>
      <c r="AA84" s="73">
        <f t="shared" si="7"/>
        <v>3.1706915471908251E-2</v>
      </c>
      <c r="AB84" s="73">
        <f t="shared" si="7"/>
        <v>3.2153752760629872E-2</v>
      </c>
      <c r="AC84" s="73">
        <f t="shared" si="7"/>
        <v>3.3061724998251871E-2</v>
      </c>
      <c r="AD84" s="73">
        <f t="shared" si="7"/>
        <v>3.3186878743709139E-2</v>
      </c>
      <c r="AE84" s="73">
        <f t="shared" si="7"/>
        <v>3.3192242521805596E-2</v>
      </c>
      <c r="AF84" s="73">
        <f t="shared" si="7"/>
        <v>3.4047855554415016E-2</v>
      </c>
      <c r="AG84" s="73">
        <f t="shared" si="7"/>
        <v>3.5153815453114835E-2</v>
      </c>
      <c r="AH84" s="73">
        <f t="shared" si="7"/>
        <v>3.5497841562687094E-2</v>
      </c>
    </row>
    <row r="85" spans="2:34">
      <c r="B85" t="s">
        <v>99</v>
      </c>
      <c r="C85" s="73">
        <f t="shared" si="8"/>
        <v>2.8312383839466894E-3</v>
      </c>
      <c r="D85" s="73">
        <f t="shared" si="8"/>
        <v>2.9132471224899122E-3</v>
      </c>
      <c r="E85" s="73">
        <f t="shared" si="8"/>
        <v>2.8832691192622038E-3</v>
      </c>
      <c r="F85" s="73">
        <f t="shared" si="8"/>
        <v>2.9032884334696234E-3</v>
      </c>
      <c r="G85" s="73">
        <f t="shared" si="8"/>
        <v>2.8126765913526327E-3</v>
      </c>
      <c r="H85" s="73">
        <f t="shared" si="8"/>
        <v>2.8453048826023956E-3</v>
      </c>
      <c r="I85" s="73">
        <f t="shared" si="8"/>
        <v>2.8500757538498312E-3</v>
      </c>
      <c r="J85" s="73">
        <f t="shared" si="8"/>
        <v>2.844435577449404E-3</v>
      </c>
      <c r="K85" s="73">
        <f t="shared" si="8"/>
        <v>2.73142168754161E-3</v>
      </c>
      <c r="L85" s="73">
        <f t="shared" si="8"/>
        <v>2.7143369479752486E-3</v>
      </c>
      <c r="M85" s="73">
        <f t="shared" si="8"/>
        <v>2.6348422687668539E-3</v>
      </c>
      <c r="N85" s="73">
        <f t="shared" si="8"/>
        <v>2.5797240050215754E-3</v>
      </c>
      <c r="O85" s="73">
        <f t="shared" si="8"/>
        <v>2.5284471077369501E-3</v>
      </c>
      <c r="P85" s="73">
        <f t="shared" si="8"/>
        <v>2.5389110918012168E-3</v>
      </c>
      <c r="Q85" s="73">
        <f t="shared" si="8"/>
        <v>2.4200806638835881E-3</v>
      </c>
      <c r="R85" s="73">
        <f t="shared" si="8"/>
        <v>2.4726352908405256E-3</v>
      </c>
      <c r="S85" s="73">
        <f t="shared" si="7"/>
        <v>2.350089087745858E-3</v>
      </c>
      <c r="T85" s="73">
        <f t="shared" si="7"/>
        <v>2.4277722739372036E-3</v>
      </c>
      <c r="U85" s="73">
        <f t="shared" si="7"/>
        <v>2.5492594528658259E-3</v>
      </c>
      <c r="V85" s="73">
        <f t="shared" si="7"/>
        <v>2.6223257837590845E-3</v>
      </c>
      <c r="W85" s="73">
        <f t="shared" si="7"/>
        <v>2.7746290749462131E-3</v>
      </c>
      <c r="X85" s="73">
        <f t="shared" si="7"/>
        <v>3.0078216236010115E-3</v>
      </c>
      <c r="Y85" s="73">
        <f t="shared" si="7"/>
        <v>3.2042994254273534E-3</v>
      </c>
      <c r="Z85" s="73">
        <f t="shared" si="7"/>
        <v>3.2948091751529114E-3</v>
      </c>
      <c r="AA85" s="73">
        <f t="shared" si="7"/>
        <v>3.4099312579168508E-3</v>
      </c>
      <c r="AB85" s="73">
        <f t="shared" si="7"/>
        <v>3.2751487792055975E-3</v>
      </c>
      <c r="AC85" s="73">
        <f t="shared" si="7"/>
        <v>3.0157357491638107E-3</v>
      </c>
      <c r="AD85" s="73">
        <f t="shared" si="7"/>
        <v>2.976127785114279E-3</v>
      </c>
      <c r="AE85" s="73">
        <f t="shared" si="7"/>
        <v>2.9855239649569441E-3</v>
      </c>
      <c r="AF85" s="73">
        <f t="shared" si="7"/>
        <v>3.0243506002947296E-3</v>
      </c>
      <c r="AG85" s="73">
        <f t="shared" si="7"/>
        <v>3.0914952830946607E-3</v>
      </c>
      <c r="AH85" s="73">
        <f t="shared" si="7"/>
        <v>2.9838484532315672E-3</v>
      </c>
    </row>
    <row r="86" spans="2:34">
      <c r="B86" t="s">
        <v>91</v>
      </c>
      <c r="C86" s="73">
        <f t="shared" si="8"/>
        <v>6.7543930830807741E-3</v>
      </c>
      <c r="D86" s="73">
        <f t="shared" si="8"/>
        <v>6.5730660611482581E-3</v>
      </c>
      <c r="E86" s="73">
        <f t="shared" si="8"/>
        <v>6.5720845349357621E-3</v>
      </c>
      <c r="F86" s="73">
        <f t="shared" si="8"/>
        <v>6.4582710395333625E-3</v>
      </c>
      <c r="G86" s="73">
        <f t="shared" si="8"/>
        <v>6.3462001052696356E-3</v>
      </c>
      <c r="H86" s="73">
        <f t="shared" si="8"/>
        <v>6.6355735884618908E-3</v>
      </c>
      <c r="I86" s="73">
        <f t="shared" si="8"/>
        <v>6.5858164849621282E-3</v>
      </c>
      <c r="J86" s="73">
        <f t="shared" si="8"/>
        <v>6.618149911793143E-3</v>
      </c>
      <c r="K86" s="73">
        <f t="shared" si="8"/>
        <v>6.4975550643820964E-3</v>
      </c>
      <c r="L86" s="73">
        <f t="shared" si="8"/>
        <v>6.5182985829208874E-3</v>
      </c>
      <c r="M86" s="73">
        <f t="shared" si="8"/>
        <v>6.3967480021413364E-3</v>
      </c>
      <c r="N86" s="73">
        <f t="shared" si="8"/>
        <v>6.2633706893764638E-3</v>
      </c>
      <c r="O86" s="73">
        <f t="shared" si="8"/>
        <v>6.2450730879982461E-3</v>
      </c>
      <c r="P86" s="73">
        <f t="shared" si="8"/>
        <v>6.1318760148309694E-3</v>
      </c>
      <c r="Q86" s="73">
        <f t="shared" si="8"/>
        <v>5.9571858986362056E-3</v>
      </c>
      <c r="R86" s="73">
        <f t="shared" si="8"/>
        <v>5.7945262347972202E-3</v>
      </c>
      <c r="S86" s="73">
        <f t="shared" si="7"/>
        <v>5.7105376736278435E-3</v>
      </c>
      <c r="T86" s="73">
        <f t="shared" si="7"/>
        <v>5.8884164957010267E-3</v>
      </c>
      <c r="U86" s="73">
        <f t="shared" si="7"/>
        <v>6.0913682401117211E-3</v>
      </c>
      <c r="V86" s="73">
        <f t="shared" si="7"/>
        <v>5.9917402421396935E-3</v>
      </c>
      <c r="W86" s="73">
        <f t="shared" si="7"/>
        <v>6.1311676472916542E-3</v>
      </c>
      <c r="X86" s="73">
        <f t="shared" si="7"/>
        <v>6.0737505369192028E-3</v>
      </c>
      <c r="Y86" s="73">
        <f t="shared" si="7"/>
        <v>6.1617047978227008E-3</v>
      </c>
      <c r="Z86" s="73">
        <f t="shared" si="7"/>
        <v>6.2498204951092753E-3</v>
      </c>
      <c r="AA86" s="73">
        <f t="shared" si="7"/>
        <v>6.4394001064009545E-3</v>
      </c>
      <c r="AB86" s="73">
        <f t="shared" si="7"/>
        <v>6.2198365786228166E-3</v>
      </c>
      <c r="AC86" s="73">
        <f t="shared" si="7"/>
        <v>6.2667412446115551E-3</v>
      </c>
      <c r="AD86" s="73">
        <f t="shared" si="7"/>
        <v>6.2573412359642226E-3</v>
      </c>
      <c r="AE86" s="73">
        <f t="shared" si="7"/>
        <v>6.2991259437489072E-3</v>
      </c>
      <c r="AF86" s="73">
        <f t="shared" si="7"/>
        <v>6.3444995196207665E-3</v>
      </c>
      <c r="AG86" s="73">
        <f t="shared" si="7"/>
        <v>6.7326488600168181E-3</v>
      </c>
      <c r="AH86" s="73">
        <f t="shared" si="7"/>
        <v>6.6114964183028061E-3</v>
      </c>
    </row>
    <row r="87" spans="2:34">
      <c r="B87" t="s">
        <v>93</v>
      </c>
      <c r="C87" s="73">
        <f t="shared" si="8"/>
        <v>4.5057194477438108E-3</v>
      </c>
      <c r="D87" s="73">
        <f t="shared" si="8"/>
        <v>4.6763575731776138E-3</v>
      </c>
      <c r="E87" s="73">
        <f t="shared" si="8"/>
        <v>4.6027561010276077E-3</v>
      </c>
      <c r="F87" s="73">
        <f t="shared" si="8"/>
        <v>4.5811521779132395E-3</v>
      </c>
      <c r="G87" s="73">
        <f t="shared" si="8"/>
        <v>4.6205986047213347E-3</v>
      </c>
      <c r="H87" s="73">
        <f t="shared" si="8"/>
        <v>4.7465685412797342E-3</v>
      </c>
      <c r="I87" s="73">
        <f t="shared" si="8"/>
        <v>4.8252550786255467E-3</v>
      </c>
      <c r="J87" s="73">
        <f t="shared" si="8"/>
        <v>5.0295822540360946E-3</v>
      </c>
      <c r="K87" s="73">
        <f t="shared" si="8"/>
        <v>5.028033820352969E-3</v>
      </c>
      <c r="L87" s="73">
        <f t="shared" si="8"/>
        <v>5.0686710089678216E-3</v>
      </c>
      <c r="M87" s="73">
        <f t="shared" si="8"/>
        <v>5.1239962833673595E-3</v>
      </c>
      <c r="N87" s="73">
        <f t="shared" si="8"/>
        <v>5.1084522988254387E-3</v>
      </c>
      <c r="O87" s="73">
        <f t="shared" si="8"/>
        <v>5.17218157768574E-3</v>
      </c>
      <c r="P87" s="73">
        <f t="shared" si="8"/>
        <v>5.1685641621251732E-3</v>
      </c>
      <c r="Q87" s="73">
        <f t="shared" si="8"/>
        <v>5.1186553165233099E-3</v>
      </c>
      <c r="R87" s="73">
        <f t="shared" si="8"/>
        <v>5.0402134562016736E-3</v>
      </c>
      <c r="S87" s="73">
        <f t="shared" si="7"/>
        <v>5.0860612952022179E-3</v>
      </c>
      <c r="T87" s="73">
        <f t="shared" si="7"/>
        <v>5.2327408259848955E-3</v>
      </c>
      <c r="U87" s="73">
        <f t="shared" si="7"/>
        <v>5.2986947768010302E-3</v>
      </c>
      <c r="V87" s="73">
        <f t="shared" si="7"/>
        <v>5.2529418534914335E-3</v>
      </c>
      <c r="W87" s="73">
        <f t="shared" si="7"/>
        <v>5.2262974814736201E-3</v>
      </c>
      <c r="X87" s="73">
        <f t="shared" si="7"/>
        <v>5.2243008799118017E-3</v>
      </c>
      <c r="Y87" s="73">
        <f t="shared" si="7"/>
        <v>5.2074047136700698E-3</v>
      </c>
      <c r="Z87" s="73">
        <f t="shared" si="7"/>
        <v>5.2160551139249708E-3</v>
      </c>
      <c r="AA87" s="73">
        <f t="shared" si="7"/>
        <v>5.1372134498830655E-3</v>
      </c>
      <c r="AB87" s="73">
        <f t="shared" si="7"/>
        <v>4.9670778408460814E-3</v>
      </c>
      <c r="AC87" s="73">
        <f t="shared" si="7"/>
        <v>4.8727976896839921E-3</v>
      </c>
      <c r="AD87" s="73">
        <f t="shared" si="7"/>
        <v>4.9177963250166988E-3</v>
      </c>
      <c r="AE87" s="73">
        <f t="shared" si="7"/>
        <v>4.962999212194551E-3</v>
      </c>
      <c r="AF87" s="73">
        <f t="shared" si="7"/>
        <v>4.976762073474565E-3</v>
      </c>
      <c r="AG87" s="73">
        <f t="shared" si="7"/>
        <v>4.8512239909743052E-3</v>
      </c>
      <c r="AH87" s="73">
        <f t="shared" ref="AH87:AH102" si="9">SUMIF($B$3:$B$53,$B87,AH$3:AH$53)/AH$54</f>
        <v>4.7986847723333025E-3</v>
      </c>
    </row>
    <row r="88" spans="2:34">
      <c r="B88" t="s">
        <v>94</v>
      </c>
      <c r="C88" s="73">
        <f t="shared" si="8"/>
        <v>2.9901928847341303E-2</v>
      </c>
      <c r="D88" s="73">
        <f t="shared" si="8"/>
        <v>3.0649819481872394E-2</v>
      </c>
      <c r="E88" s="73">
        <f t="shared" si="8"/>
        <v>2.9044019250605582E-2</v>
      </c>
      <c r="F88" s="73">
        <f t="shared" si="8"/>
        <v>2.5909182739244172E-2</v>
      </c>
      <c r="G88" s="73">
        <f t="shared" si="8"/>
        <v>2.9573421637722475E-2</v>
      </c>
      <c r="H88" s="73">
        <f t="shared" si="8"/>
        <v>2.9078554087975279E-2</v>
      </c>
      <c r="I88" s="73">
        <f t="shared" si="8"/>
        <v>2.996830064059558E-2</v>
      </c>
      <c r="J88" s="73">
        <f t="shared" si="8"/>
        <v>3.0600297374163431E-2</v>
      </c>
      <c r="K88" s="73">
        <f t="shared" si="8"/>
        <v>3.0668148099768849E-2</v>
      </c>
      <c r="L88" s="73">
        <f t="shared" si="8"/>
        <v>3.0015966952934261E-2</v>
      </c>
      <c r="M88" s="73">
        <f t="shared" si="8"/>
        <v>3.0739922995314528E-2</v>
      </c>
      <c r="N88" s="73">
        <f t="shared" si="8"/>
        <v>3.0164820808717491E-2</v>
      </c>
      <c r="O88" s="73">
        <f t="shared" si="8"/>
        <v>3.0109970740491675E-2</v>
      </c>
      <c r="P88" s="73">
        <f t="shared" si="8"/>
        <v>3.0464860824295469E-2</v>
      </c>
      <c r="Q88" s="73">
        <f t="shared" si="8"/>
        <v>3.148840556064892E-2</v>
      </c>
      <c r="R88" s="73">
        <f t="shared" si="8"/>
        <v>3.1194378772252809E-2</v>
      </c>
      <c r="S88" s="73">
        <f t="shared" si="7"/>
        <v>3.1031377968959589E-2</v>
      </c>
      <c r="T88" s="73">
        <f t="shared" si="7"/>
        <v>3.1534174507839498E-2</v>
      </c>
      <c r="U88" s="73">
        <f t="shared" si="7"/>
        <v>3.1728230942072229E-2</v>
      </c>
      <c r="V88" s="73">
        <f t="shared" si="7"/>
        <v>3.0969559401467533E-2</v>
      </c>
      <c r="W88" s="73">
        <f t="shared" si="7"/>
        <v>3.0671729026038475E-2</v>
      </c>
      <c r="X88" s="73">
        <f t="shared" si="7"/>
        <v>3.0931299503032604E-2</v>
      </c>
      <c r="Y88" s="73">
        <f t="shared" si="7"/>
        <v>3.0408729297553311E-2</v>
      </c>
      <c r="Z88" s="73">
        <f t="shared" si="7"/>
        <v>2.9575627551573246E-2</v>
      </c>
      <c r="AA88" s="73">
        <f t="shared" si="7"/>
        <v>2.9917787346011401E-2</v>
      </c>
      <c r="AB88" s="73">
        <f t="shared" si="7"/>
        <v>2.9706854847908359E-2</v>
      </c>
      <c r="AC88" s="73">
        <f t="shared" si="7"/>
        <v>2.9870848173733811E-2</v>
      </c>
      <c r="AD88" s="73">
        <f t="shared" si="7"/>
        <v>2.8487056255061968E-2</v>
      </c>
      <c r="AE88" s="73">
        <f t="shared" si="7"/>
        <v>2.7801635761613333E-2</v>
      </c>
      <c r="AF88" s="73">
        <f t="shared" si="7"/>
        <v>2.7710521157674563E-2</v>
      </c>
      <c r="AG88" s="73">
        <f t="shared" si="7"/>
        <v>2.5339598728294305E-2</v>
      </c>
      <c r="AH88" s="73">
        <f t="shared" si="9"/>
        <v>2.59031715821968E-2</v>
      </c>
    </row>
    <row r="89" spans="2:34">
      <c r="B89" t="s">
        <v>95</v>
      </c>
      <c r="C89" s="73">
        <f t="shared" si="8"/>
        <v>7.0952329024623296E-3</v>
      </c>
      <c r="D89" s="73">
        <f t="shared" si="8"/>
        <v>7.3477252499326729E-3</v>
      </c>
      <c r="E89" s="73">
        <f t="shared" si="8"/>
        <v>7.3736749632994118E-3</v>
      </c>
      <c r="F89" s="73">
        <f t="shared" si="8"/>
        <v>7.4004418538747476E-3</v>
      </c>
      <c r="G89" s="73">
        <f t="shared" si="8"/>
        <v>7.4188650002458036E-3</v>
      </c>
      <c r="H89" s="73">
        <f t="shared" si="8"/>
        <v>7.2935406787628205E-3</v>
      </c>
      <c r="I89" s="73">
        <f t="shared" si="8"/>
        <v>6.9009826890107373E-3</v>
      </c>
      <c r="J89" s="73">
        <f t="shared" si="8"/>
        <v>7.2476962697137475E-3</v>
      </c>
      <c r="K89" s="73">
        <f t="shared" si="8"/>
        <v>7.2301904783107201E-3</v>
      </c>
      <c r="L89" s="73">
        <f t="shared" si="8"/>
        <v>7.189866926938366E-3</v>
      </c>
      <c r="M89" s="73">
        <f t="shared" si="8"/>
        <v>6.8265790209042134E-3</v>
      </c>
      <c r="N89" s="73">
        <f t="shared" si="8"/>
        <v>6.8307736370828865E-3</v>
      </c>
      <c r="O89" s="73">
        <f t="shared" si="8"/>
        <v>6.8046094095682748E-3</v>
      </c>
      <c r="P89" s="73">
        <f t="shared" si="8"/>
        <v>6.763162990404613E-3</v>
      </c>
      <c r="Q89" s="73">
        <f t="shared" si="8"/>
        <v>6.9236923905866979E-3</v>
      </c>
      <c r="R89" s="73">
        <f t="shared" si="8"/>
        <v>6.855624193879771E-3</v>
      </c>
      <c r="S89" s="73">
        <f t="shared" si="7"/>
        <v>6.8884338263402846E-3</v>
      </c>
      <c r="T89" s="73">
        <f t="shared" si="7"/>
        <v>6.786424103444013E-3</v>
      </c>
      <c r="U89" s="73">
        <f t="shared" si="7"/>
        <v>6.7297927130992525E-3</v>
      </c>
      <c r="V89" s="73">
        <f t="shared" si="7"/>
        <v>7.0416575660967691E-3</v>
      </c>
      <c r="W89" s="73">
        <f t="shared" si="7"/>
        <v>6.6505982990708217E-3</v>
      </c>
      <c r="X89" s="73">
        <f t="shared" si="7"/>
        <v>7.0824467712126095E-3</v>
      </c>
      <c r="Y89" s="73">
        <f t="shared" si="7"/>
        <v>7.176431947511548E-3</v>
      </c>
      <c r="Z89" s="73">
        <f t="shared" si="7"/>
        <v>6.9993940760290068E-3</v>
      </c>
      <c r="AA89" s="73">
        <f t="shared" si="7"/>
        <v>7.0335680628897416E-3</v>
      </c>
      <c r="AB89" s="73">
        <f t="shared" si="7"/>
        <v>6.9082534724690539E-3</v>
      </c>
      <c r="AC89" s="73">
        <f t="shared" si="7"/>
        <v>6.6713317348347598E-3</v>
      </c>
      <c r="AD89" s="73">
        <f t="shared" si="7"/>
        <v>7.1156720749336877E-3</v>
      </c>
      <c r="AE89" s="73">
        <f t="shared" si="7"/>
        <v>7.0328440738766868E-3</v>
      </c>
      <c r="AF89" s="73">
        <f t="shared" si="7"/>
        <v>7.050708728392488E-3</v>
      </c>
      <c r="AG89" s="73">
        <f t="shared" si="7"/>
        <v>7.3008741552355516E-3</v>
      </c>
      <c r="AH89" s="73">
        <f t="shared" si="9"/>
        <v>7.5755433666095731E-3</v>
      </c>
    </row>
    <row r="90" spans="2:34">
      <c r="B90" t="s">
        <v>92</v>
      </c>
      <c r="C90" s="73">
        <f t="shared" si="8"/>
        <v>5.7249713720846016E-3</v>
      </c>
      <c r="D90" s="73">
        <f t="shared" si="8"/>
        <v>5.9296048339267139E-3</v>
      </c>
      <c r="E90" s="73">
        <f t="shared" si="8"/>
        <v>6.1027239449567006E-3</v>
      </c>
      <c r="F90" s="73">
        <f t="shared" si="8"/>
        <v>5.9891254863667061E-3</v>
      </c>
      <c r="G90" s="73">
        <f t="shared" si="8"/>
        <v>6.2413782488735213E-3</v>
      </c>
      <c r="H90" s="73">
        <f t="shared" si="8"/>
        <v>6.3604425080261446E-3</v>
      </c>
      <c r="I90" s="73">
        <f t="shared" si="8"/>
        <v>6.5964093225739781E-3</v>
      </c>
      <c r="J90" s="73">
        <f t="shared" si="8"/>
        <v>6.8320200461266575E-3</v>
      </c>
      <c r="K90" s="73">
        <f t="shared" si="8"/>
        <v>7.2948288827359258E-3</v>
      </c>
      <c r="L90" s="73">
        <f t="shared" si="8"/>
        <v>7.0549629366666155E-3</v>
      </c>
      <c r="M90" s="73">
        <f t="shared" si="8"/>
        <v>7.1725033421764818E-3</v>
      </c>
      <c r="N90" s="73">
        <f t="shared" si="8"/>
        <v>7.2920092641942996E-3</v>
      </c>
      <c r="O90" s="73">
        <f t="shared" si="8"/>
        <v>7.3234927958072101E-3</v>
      </c>
      <c r="P90" s="73">
        <f t="shared" si="8"/>
        <v>7.6608972931081773E-3</v>
      </c>
      <c r="Q90" s="73">
        <f t="shared" si="8"/>
        <v>7.8516148382552827E-3</v>
      </c>
      <c r="R90" s="73">
        <f t="shared" si="8"/>
        <v>8.1504470382361676E-3</v>
      </c>
      <c r="S90" s="73">
        <f t="shared" si="7"/>
        <v>8.4104438894416784E-3</v>
      </c>
      <c r="T90" s="73">
        <f t="shared" si="7"/>
        <v>8.4939279034866085E-3</v>
      </c>
      <c r="U90" s="73">
        <f t="shared" si="7"/>
        <v>8.3100736189600198E-3</v>
      </c>
      <c r="V90" s="73">
        <f t="shared" si="7"/>
        <v>8.0977587512789106E-3</v>
      </c>
      <c r="W90" s="73">
        <f t="shared" si="7"/>
        <v>8.022612810435174E-3</v>
      </c>
      <c r="X90" s="73">
        <f t="shared" si="7"/>
        <v>8.090906858943191E-3</v>
      </c>
      <c r="Y90" s="73">
        <f t="shared" si="7"/>
        <v>8.1273181163084296E-3</v>
      </c>
      <c r="Z90" s="73">
        <f t="shared" si="7"/>
        <v>8.1928945332423869E-3</v>
      </c>
      <c r="AA90" s="73">
        <f t="shared" si="7"/>
        <v>8.0842234956987561E-3</v>
      </c>
      <c r="AB90" s="73">
        <f t="shared" si="7"/>
        <v>8.0765083899868671E-3</v>
      </c>
      <c r="AC90" s="73">
        <f t="shared" si="7"/>
        <v>8.1212065353749897E-3</v>
      </c>
      <c r="AD90" s="73">
        <f t="shared" si="7"/>
        <v>8.3622603320900844E-3</v>
      </c>
      <c r="AE90" s="73">
        <f t="shared" si="7"/>
        <v>8.5386660750361217E-3</v>
      </c>
      <c r="AF90" s="73">
        <f t="shared" si="7"/>
        <v>8.5053095103800359E-3</v>
      </c>
      <c r="AG90" s="73">
        <f t="shared" si="7"/>
        <v>8.4005063051558072E-3</v>
      </c>
      <c r="AH90" s="73">
        <f t="shared" si="9"/>
        <v>8.7088405769815743E-3</v>
      </c>
    </row>
    <row r="91" spans="2:34">
      <c r="B91" t="s">
        <v>97</v>
      </c>
      <c r="C91" s="73">
        <f t="shared" si="8"/>
        <v>5.3126813667366338E-2</v>
      </c>
      <c r="D91" s="73">
        <f t="shared" si="8"/>
        <v>5.1363835151234702E-2</v>
      </c>
      <c r="E91" s="73">
        <f t="shared" si="8"/>
        <v>4.8919994406997312E-2</v>
      </c>
      <c r="F91" s="73">
        <f t="shared" si="8"/>
        <v>4.8471541083714882E-2</v>
      </c>
      <c r="G91" s="73">
        <f t="shared" si="8"/>
        <v>4.637940112730262E-2</v>
      </c>
      <c r="H91" s="73">
        <f t="shared" si="8"/>
        <v>4.6774863535172038E-2</v>
      </c>
      <c r="I91" s="73">
        <f t="shared" si="8"/>
        <v>4.550270536554335E-2</v>
      </c>
      <c r="J91" s="73">
        <f t="shared" si="8"/>
        <v>4.4944934827986109E-2</v>
      </c>
      <c r="K91" s="73">
        <f t="shared" si="8"/>
        <v>4.3752091926525349E-2</v>
      </c>
      <c r="L91" s="73">
        <f t="shared" si="8"/>
        <v>4.3423953996185836E-2</v>
      </c>
      <c r="M91" s="73">
        <f t="shared" si="8"/>
        <v>4.2847497798139643E-2</v>
      </c>
      <c r="N91" s="73">
        <f t="shared" si="8"/>
        <v>4.2693729024853279E-2</v>
      </c>
      <c r="O91" s="73">
        <f t="shared" si="8"/>
        <v>4.2250479108569355E-2</v>
      </c>
      <c r="P91" s="73">
        <f t="shared" si="8"/>
        <v>4.2469318225961269E-2</v>
      </c>
      <c r="Q91" s="73">
        <f t="shared" si="8"/>
        <v>4.1420949878491042E-2</v>
      </c>
      <c r="R91" s="73">
        <f t="shared" si="8"/>
        <v>4.118305864321898E-2</v>
      </c>
      <c r="S91" s="73">
        <f t="shared" si="7"/>
        <v>4.1549134833373524E-2</v>
      </c>
      <c r="T91" s="73">
        <f t="shared" si="7"/>
        <v>4.1070958293215755E-2</v>
      </c>
      <c r="U91" s="73">
        <f t="shared" si="7"/>
        <v>4.139410025739771E-2</v>
      </c>
      <c r="V91" s="73">
        <f t="shared" si="7"/>
        <v>4.1444456095815305E-2</v>
      </c>
      <c r="W91" s="73">
        <f t="shared" si="7"/>
        <v>4.2019397950403714E-2</v>
      </c>
      <c r="X91" s="73">
        <f t="shared" si="7"/>
        <v>4.1055062621612147E-2</v>
      </c>
      <c r="Y91" s="73">
        <f t="shared" si="7"/>
        <v>4.0267131621062574E-2</v>
      </c>
      <c r="Z91" s="73">
        <f t="shared" si="7"/>
        <v>3.9517717512573679E-2</v>
      </c>
      <c r="AA91" s="73">
        <f t="shared" si="7"/>
        <v>4.0382991365432039E-2</v>
      </c>
      <c r="AB91" s="73">
        <f t="shared" si="7"/>
        <v>3.849591003692681E-2</v>
      </c>
      <c r="AC91" s="73">
        <f t="shared" si="7"/>
        <v>3.9258297684664045E-2</v>
      </c>
      <c r="AD91" s="73">
        <f t="shared" si="7"/>
        <v>3.9823247845342816E-2</v>
      </c>
      <c r="AE91" s="73">
        <f t="shared" si="7"/>
        <v>4.0227635793105156E-2</v>
      </c>
      <c r="AF91" s="73">
        <f t="shared" si="7"/>
        <v>3.9691576660965143E-2</v>
      </c>
      <c r="AG91" s="73">
        <f t="shared" si="7"/>
        <v>3.7755268124386933E-2</v>
      </c>
      <c r="AH91" s="73">
        <f t="shared" si="9"/>
        <v>3.8220910565013581E-2</v>
      </c>
    </row>
    <row r="92" spans="2:34">
      <c r="B92" t="s">
        <v>100</v>
      </c>
      <c r="C92" s="73">
        <f t="shared" si="8"/>
        <v>4.2225554375071486E-2</v>
      </c>
      <c r="D92" s="73">
        <f t="shared" si="8"/>
        <v>4.2378841258639742E-2</v>
      </c>
      <c r="E92" s="73">
        <f t="shared" si="8"/>
        <v>4.0592216334907359E-2</v>
      </c>
      <c r="F92" s="73">
        <f t="shared" si="8"/>
        <v>4.2176208982996746E-2</v>
      </c>
      <c r="G92" s="73">
        <f t="shared" si="8"/>
        <v>4.0906500382285119E-2</v>
      </c>
      <c r="H92" s="73">
        <f t="shared" si="8"/>
        <v>4.0982750758269869E-2</v>
      </c>
      <c r="I92" s="73">
        <f t="shared" si="8"/>
        <v>4.0062915096364948E-2</v>
      </c>
      <c r="J92" s="73">
        <f t="shared" si="8"/>
        <v>4.0078436303293136E-2</v>
      </c>
      <c r="K92" s="73">
        <f t="shared" si="8"/>
        <v>3.9780318603497379E-2</v>
      </c>
      <c r="L92" s="73">
        <f t="shared" si="8"/>
        <v>3.937222822710338E-2</v>
      </c>
      <c r="M92" s="73">
        <f t="shared" si="8"/>
        <v>3.9263008209146952E-2</v>
      </c>
      <c r="N92" s="73">
        <f t="shared" si="8"/>
        <v>3.877386622110654E-2</v>
      </c>
      <c r="O92" s="73">
        <f t="shared" si="8"/>
        <v>3.8310777196951001E-2</v>
      </c>
      <c r="P92" s="73">
        <f t="shared" si="8"/>
        <v>3.8276752116043963E-2</v>
      </c>
      <c r="Q92" s="73">
        <f t="shared" si="8"/>
        <v>3.7525793506886493E-2</v>
      </c>
      <c r="R92" s="73">
        <f t="shared" si="8"/>
        <v>3.7384293180223141E-2</v>
      </c>
      <c r="S92" s="73">
        <f t="shared" si="7"/>
        <v>3.6857737684841449E-2</v>
      </c>
      <c r="T92" s="73">
        <f t="shared" si="7"/>
        <v>3.6673825487079918E-2</v>
      </c>
      <c r="U92" s="73">
        <f t="shared" si="7"/>
        <v>3.739133139728671E-2</v>
      </c>
      <c r="V92" s="73">
        <f t="shared" si="7"/>
        <v>3.6792537406548934E-2</v>
      </c>
      <c r="W92" s="73">
        <f t="shared" si="7"/>
        <v>3.7034550734325725E-2</v>
      </c>
      <c r="X92" s="73">
        <f t="shared" si="7"/>
        <v>3.698177817706691E-2</v>
      </c>
      <c r="Y92" s="73">
        <f t="shared" si="7"/>
        <v>3.684502897837514E-2</v>
      </c>
      <c r="Z92" s="73">
        <f t="shared" si="7"/>
        <v>3.667512928217366E-2</v>
      </c>
      <c r="AA92" s="73">
        <f t="shared" si="7"/>
        <v>3.6629551376377724E-2</v>
      </c>
      <c r="AB92" s="73">
        <f t="shared" si="7"/>
        <v>3.6329375760887156E-2</v>
      </c>
      <c r="AC92" s="73">
        <f t="shared" si="7"/>
        <v>3.5923100246961312E-2</v>
      </c>
      <c r="AD92" s="73">
        <f t="shared" si="7"/>
        <v>3.5944870091599419E-2</v>
      </c>
      <c r="AE92" s="73">
        <f t="shared" si="7"/>
        <v>3.5498564236594102E-2</v>
      </c>
      <c r="AF92" s="73">
        <f t="shared" si="7"/>
        <v>3.5186882278221587E-2</v>
      </c>
      <c r="AG92" s="73">
        <f t="shared" si="7"/>
        <v>3.5284372943834658E-2</v>
      </c>
      <c r="AH92" s="73">
        <f t="shared" si="9"/>
        <v>3.4628946494226882E-2</v>
      </c>
    </row>
    <row r="93" spans="2:34">
      <c r="B93" t="s">
        <v>101</v>
      </c>
      <c r="C93" s="73">
        <f t="shared" si="8"/>
        <v>1.4630219655249634E-2</v>
      </c>
      <c r="D93" s="73">
        <f t="shared" si="8"/>
        <v>1.4669902203493766E-2</v>
      </c>
      <c r="E93" s="73">
        <f t="shared" si="8"/>
        <v>1.4916370921976504E-2</v>
      </c>
      <c r="F93" s="73">
        <f t="shared" si="8"/>
        <v>1.4786438173624201E-2</v>
      </c>
      <c r="G93" s="73">
        <f t="shared" si="8"/>
        <v>1.4779907685017945E-2</v>
      </c>
      <c r="H93" s="73">
        <f t="shared" si="8"/>
        <v>1.4692163712927888E-2</v>
      </c>
      <c r="I93" s="73">
        <f t="shared" si="8"/>
        <v>1.4937089170891907E-2</v>
      </c>
      <c r="J93" s="73">
        <f t="shared" si="8"/>
        <v>1.4370708690379938E-2</v>
      </c>
      <c r="K93" s="73">
        <f t="shared" si="8"/>
        <v>1.4137116757617018E-2</v>
      </c>
      <c r="L93" s="73">
        <f t="shared" si="8"/>
        <v>1.4072494831813219E-2</v>
      </c>
      <c r="M93" s="73">
        <f t="shared" si="8"/>
        <v>1.3572464910440788E-2</v>
      </c>
      <c r="N93" s="73">
        <f t="shared" si="8"/>
        <v>1.3507655552992428E-2</v>
      </c>
      <c r="O93" s="73">
        <f t="shared" si="8"/>
        <v>1.2845522779411629E-2</v>
      </c>
      <c r="P93" s="73">
        <f t="shared" si="8"/>
        <v>1.3088964053713131E-2</v>
      </c>
      <c r="Q93" s="73">
        <f t="shared" si="8"/>
        <v>1.3332564437241014E-2</v>
      </c>
      <c r="R93" s="73">
        <f t="shared" si="8"/>
        <v>1.324892526611654E-2</v>
      </c>
      <c r="S93" s="73">
        <f t="shared" si="7"/>
        <v>1.2671318559082424E-2</v>
      </c>
      <c r="T93" s="73">
        <f t="shared" si="7"/>
        <v>1.3194588551185027E-2</v>
      </c>
      <c r="U93" s="73">
        <f t="shared" si="7"/>
        <v>1.3341849591476843E-2</v>
      </c>
      <c r="V93" s="73">
        <f t="shared" si="7"/>
        <v>1.3200602795570192E-2</v>
      </c>
      <c r="W93" s="73">
        <f t="shared" si="7"/>
        <v>1.3879254915948491E-2</v>
      </c>
      <c r="X93" s="73">
        <f t="shared" si="7"/>
        <v>1.3375440347637602E-2</v>
      </c>
      <c r="Y93" s="73">
        <f t="shared" si="7"/>
        <v>1.4201269250959858E-2</v>
      </c>
      <c r="Z93" s="73">
        <f t="shared" si="7"/>
        <v>1.369565480151049E-2</v>
      </c>
      <c r="AA93" s="73">
        <f t="shared" si="7"/>
        <v>1.4439274248370383E-2</v>
      </c>
      <c r="AB93" s="73">
        <f t="shared" si="7"/>
        <v>1.3570035578717141E-2</v>
      </c>
      <c r="AC93" s="73">
        <f t="shared" si="7"/>
        <v>1.351191782199569E-2</v>
      </c>
      <c r="AD93" s="73">
        <f t="shared" si="7"/>
        <v>1.3176138513814295E-2</v>
      </c>
      <c r="AE93" s="73">
        <f t="shared" si="7"/>
        <v>1.3461942141302042E-2</v>
      </c>
      <c r="AF93" s="73">
        <f t="shared" si="7"/>
        <v>1.3344758434091863E-2</v>
      </c>
      <c r="AG93" s="73">
        <f t="shared" si="7"/>
        <v>1.4090844474301752E-2</v>
      </c>
      <c r="AH93" s="73">
        <f t="shared" si="9"/>
        <v>1.3750315463079555E-2</v>
      </c>
    </row>
    <row r="94" spans="2:34">
      <c r="B94" t="s">
        <v>103</v>
      </c>
      <c r="C94" s="73">
        <f t="shared" si="8"/>
        <v>1.2012220712572515E-2</v>
      </c>
      <c r="D94" s="73">
        <f t="shared" si="8"/>
        <v>1.2242953048717959E-2</v>
      </c>
      <c r="E94" s="73">
        <f t="shared" si="8"/>
        <v>1.2078013070025829E-2</v>
      </c>
      <c r="F94" s="73">
        <f t="shared" si="8"/>
        <v>1.2281334466125962E-2</v>
      </c>
      <c r="G94" s="73">
        <f t="shared" si="8"/>
        <v>1.2180730203781694E-2</v>
      </c>
      <c r="H94" s="73">
        <f t="shared" si="8"/>
        <v>1.1938785602659738E-2</v>
      </c>
      <c r="I94" s="73">
        <f t="shared" si="8"/>
        <v>1.214282244300656E-2</v>
      </c>
      <c r="J94" s="73">
        <f t="shared" si="8"/>
        <v>1.1448522450910893E-2</v>
      </c>
      <c r="K94" s="73">
        <f t="shared" si="8"/>
        <v>1.2000993923733355E-2</v>
      </c>
      <c r="L94" s="73">
        <f t="shared" si="8"/>
        <v>1.1852319091869339E-2</v>
      </c>
      <c r="M94" s="73">
        <f t="shared" si="8"/>
        <v>1.159950123583867E-2</v>
      </c>
      <c r="N94" s="73">
        <f t="shared" si="8"/>
        <v>1.1468576752906743E-2</v>
      </c>
      <c r="O94" s="73">
        <f t="shared" si="8"/>
        <v>1.1394630423412769E-2</v>
      </c>
      <c r="P94" s="73">
        <f t="shared" si="8"/>
        <v>1.1178443205749136E-2</v>
      </c>
      <c r="Q94" s="73">
        <f t="shared" si="8"/>
        <v>1.0987467997686481E-2</v>
      </c>
      <c r="R94" s="73">
        <f t="shared" si="8"/>
        <v>1.1176560671215497E-2</v>
      </c>
      <c r="S94" s="73">
        <f t="shared" si="7"/>
        <v>1.1197173992600576E-2</v>
      </c>
      <c r="T94" s="73">
        <f t="shared" si="7"/>
        <v>1.1122471774543332E-2</v>
      </c>
      <c r="U94" s="73">
        <f t="shared" si="7"/>
        <v>1.1030186512283793E-2</v>
      </c>
      <c r="V94" s="73">
        <f t="shared" si="7"/>
        <v>1.1213619853540739E-2</v>
      </c>
      <c r="W94" s="73">
        <f t="shared" si="7"/>
        <v>1.1091404704071547E-2</v>
      </c>
      <c r="X94" s="73">
        <f t="shared" si="7"/>
        <v>1.093707473384359E-2</v>
      </c>
      <c r="Y94" s="73">
        <f t="shared" si="7"/>
        <v>1.0871342322877651E-2</v>
      </c>
      <c r="Z94" s="73">
        <f t="shared" si="7"/>
        <v>1.0812167445650299E-2</v>
      </c>
      <c r="AA94" s="73">
        <f t="shared" si="7"/>
        <v>1.0902148473727474E-2</v>
      </c>
      <c r="AB94" s="73">
        <f t="shared" si="7"/>
        <v>1.0956254909011816E-2</v>
      </c>
      <c r="AC94" s="73">
        <f t="shared" si="7"/>
        <v>1.1070587555669644E-2</v>
      </c>
      <c r="AD94" s="73">
        <f t="shared" si="7"/>
        <v>1.1298054298958906E-2</v>
      </c>
      <c r="AE94" s="73">
        <f t="shared" si="7"/>
        <v>1.1295249944484761E-2</v>
      </c>
      <c r="AF94" s="73">
        <f t="shared" si="7"/>
        <v>1.1073083783053189E-2</v>
      </c>
      <c r="AG94" s="73">
        <f t="shared" si="7"/>
        <v>1.1073523380963448E-2</v>
      </c>
      <c r="AH94" s="73">
        <f t="shared" si="9"/>
        <v>1.0991384146997104E-2</v>
      </c>
    </row>
    <row r="95" spans="2:34">
      <c r="B95" t="s">
        <v>104</v>
      </c>
      <c r="C95" s="73">
        <f t="shared" si="8"/>
        <v>4.1130497352237373E-2</v>
      </c>
      <c r="D95" s="73">
        <f t="shared" si="8"/>
        <v>4.1316441717793688E-2</v>
      </c>
      <c r="E95" s="73">
        <f t="shared" si="8"/>
        <v>4.0799029837328485E-2</v>
      </c>
      <c r="F95" s="73">
        <f t="shared" si="8"/>
        <v>4.064968024343945E-2</v>
      </c>
      <c r="G95" s="73">
        <f t="shared" si="8"/>
        <v>3.9856215809443998E-2</v>
      </c>
      <c r="H95" s="73">
        <f t="shared" si="8"/>
        <v>3.9882756076884164E-2</v>
      </c>
      <c r="I95" s="73">
        <f t="shared" si="8"/>
        <v>3.9762031652034686E-2</v>
      </c>
      <c r="J95" s="73">
        <f t="shared" si="8"/>
        <v>3.9622516277509984E-2</v>
      </c>
      <c r="K95" s="73">
        <f t="shared" si="8"/>
        <v>3.8904989500990875E-2</v>
      </c>
      <c r="L95" s="73">
        <f t="shared" si="8"/>
        <v>3.8423115584353164E-2</v>
      </c>
      <c r="M95" s="73">
        <f t="shared" si="8"/>
        <v>3.8393423707399725E-2</v>
      </c>
      <c r="N95" s="73">
        <f t="shared" si="8"/>
        <v>3.8746067471052428E-2</v>
      </c>
      <c r="O95" s="73">
        <f t="shared" si="8"/>
        <v>3.8466815272136731E-2</v>
      </c>
      <c r="P95" s="73">
        <f t="shared" si="8"/>
        <v>3.8045994009410215E-2</v>
      </c>
      <c r="Q95" s="73">
        <f t="shared" si="8"/>
        <v>3.7784632717529791E-2</v>
      </c>
      <c r="R95" s="73">
        <f t="shared" si="8"/>
        <v>3.7439902155427404E-2</v>
      </c>
      <c r="S95" s="73">
        <f t="shared" si="7"/>
        <v>3.6683155442755286E-2</v>
      </c>
      <c r="T95" s="73">
        <f t="shared" si="7"/>
        <v>3.697753055824126E-2</v>
      </c>
      <c r="U95" s="73">
        <f t="shared" si="7"/>
        <v>3.7331091117585501E-2</v>
      </c>
      <c r="V95" s="73">
        <f t="shared" si="7"/>
        <v>3.7672511390999627E-2</v>
      </c>
      <c r="W95" s="73">
        <f t="shared" si="7"/>
        <v>3.7550466717350683E-2</v>
      </c>
      <c r="X95" s="73">
        <f t="shared" si="7"/>
        <v>3.7885739601931701E-2</v>
      </c>
      <c r="Y95" s="73">
        <f t="shared" si="7"/>
        <v>3.7395158143900806E-2</v>
      </c>
      <c r="Z95" s="73">
        <f t="shared" si="7"/>
        <v>3.7075605597806177E-2</v>
      </c>
      <c r="AA95" s="73">
        <f t="shared" si="7"/>
        <v>3.6205159301789268E-2</v>
      </c>
      <c r="AB95" s="73">
        <f t="shared" si="7"/>
        <v>3.5097994410123574E-2</v>
      </c>
      <c r="AC95" s="73">
        <f t="shared" si="7"/>
        <v>3.4881814187122002E-2</v>
      </c>
      <c r="AD95" s="73">
        <f t="shared" si="7"/>
        <v>3.5219884618138027E-2</v>
      </c>
      <c r="AE95" s="73">
        <f t="shared" si="7"/>
        <v>3.4134292887695594E-2</v>
      </c>
      <c r="AF95" s="73">
        <f t="shared" si="7"/>
        <v>3.4390061823178816E-2</v>
      </c>
      <c r="AG95" s="73">
        <f t="shared" si="7"/>
        <v>3.3888334011024618E-2</v>
      </c>
      <c r="AH95" s="73">
        <f t="shared" si="9"/>
        <v>3.3676714017875628E-2</v>
      </c>
    </row>
    <row r="96" spans="2:34">
      <c r="B96" t="s">
        <v>105</v>
      </c>
      <c r="C96" s="73">
        <f t="shared" si="8"/>
        <v>3.2936162852849372E-3</v>
      </c>
      <c r="D96" s="73">
        <f t="shared" si="8"/>
        <v>3.2798378386523059E-3</v>
      </c>
      <c r="E96" s="73">
        <f t="shared" si="8"/>
        <v>3.2826946479240942E-3</v>
      </c>
      <c r="F96" s="73">
        <f t="shared" si="8"/>
        <v>3.2824441154014131E-3</v>
      </c>
      <c r="G96" s="73">
        <f t="shared" si="8"/>
        <v>3.1372301620595519E-3</v>
      </c>
      <c r="H96" s="73">
        <f t="shared" si="8"/>
        <v>3.1629438730033134E-3</v>
      </c>
      <c r="I96" s="73">
        <f t="shared" si="8"/>
        <v>3.1479637512092863E-3</v>
      </c>
      <c r="J96" s="73">
        <f t="shared" si="8"/>
        <v>3.1756138732284842E-3</v>
      </c>
      <c r="K96" s="73">
        <f t="shared" si="8"/>
        <v>3.1469038781695353E-3</v>
      </c>
      <c r="L96" s="73">
        <f t="shared" si="8"/>
        <v>3.1421413625421081E-3</v>
      </c>
      <c r="M96" s="73">
        <f t="shared" si="8"/>
        <v>3.0763003284738771E-3</v>
      </c>
      <c r="N96" s="73">
        <f t="shared" si="8"/>
        <v>3.0776262220101871E-3</v>
      </c>
      <c r="O96" s="73">
        <f t="shared" si="8"/>
        <v>2.9327350966207454E-3</v>
      </c>
      <c r="P96" s="73">
        <f t="shared" si="8"/>
        <v>2.9164146571951958E-3</v>
      </c>
      <c r="Q96" s="73">
        <f t="shared" si="8"/>
        <v>2.756124605108063E-3</v>
      </c>
      <c r="R96" s="73">
        <f t="shared" si="8"/>
        <v>2.7822094275137747E-3</v>
      </c>
      <c r="S96" s="73">
        <f t="shared" si="7"/>
        <v>2.9421409308103652E-3</v>
      </c>
      <c r="T96" s="73">
        <f t="shared" si="7"/>
        <v>2.8731133327678233E-3</v>
      </c>
      <c r="U96" s="73">
        <f t="shared" si="7"/>
        <v>2.9788428909158248E-3</v>
      </c>
      <c r="V96" s="73">
        <f t="shared" si="7"/>
        <v>2.8710870235757152E-3</v>
      </c>
      <c r="W96" s="73">
        <f t="shared" si="7"/>
        <v>2.867827621081797E-3</v>
      </c>
      <c r="X96" s="73">
        <f t="shared" si="7"/>
        <v>2.7732519104047447E-3</v>
      </c>
      <c r="Y96" s="73">
        <f t="shared" si="7"/>
        <v>2.7073876249998044E-3</v>
      </c>
      <c r="Z96" s="73">
        <f t="shared" si="7"/>
        <v>2.6829293166157511E-3</v>
      </c>
      <c r="AA96" s="73">
        <f t="shared" si="7"/>
        <v>2.6832195510800433E-3</v>
      </c>
      <c r="AB96" s="73">
        <f t="shared" si="7"/>
        <v>2.7187242059517071E-3</v>
      </c>
      <c r="AC96" s="73">
        <f t="shared" si="7"/>
        <v>2.6178581887094702E-3</v>
      </c>
      <c r="AD96" s="73">
        <f t="shared" si="7"/>
        <v>2.6138604722954679E-3</v>
      </c>
      <c r="AE96" s="73">
        <f t="shared" si="7"/>
        <v>2.7349119968651816E-3</v>
      </c>
      <c r="AF96" s="73">
        <f t="shared" si="7"/>
        <v>2.6929912252451251E-3</v>
      </c>
      <c r="AG96" s="73">
        <f t="shared" si="7"/>
        <v>2.5944591291771021E-3</v>
      </c>
      <c r="AH96" s="73">
        <f t="shared" si="9"/>
        <v>2.5751049589388141E-3</v>
      </c>
    </row>
    <row r="97" spans="2:34">
      <c r="B97" t="s">
        <v>106</v>
      </c>
      <c r="C97" s="73">
        <f t="shared" si="8"/>
        <v>1.6129469318280919E-2</v>
      </c>
      <c r="D97" s="73">
        <f t="shared" si="8"/>
        <v>1.5899120906937278E-2</v>
      </c>
      <c r="E97" s="73">
        <f t="shared" si="8"/>
        <v>1.6063824966301456E-2</v>
      </c>
      <c r="F97" s="73">
        <f t="shared" si="8"/>
        <v>1.6578185864019067E-2</v>
      </c>
      <c r="G97" s="73">
        <f t="shared" si="8"/>
        <v>1.6363473236164584E-2</v>
      </c>
      <c r="H97" s="73">
        <f t="shared" si="8"/>
        <v>1.658695209110812E-2</v>
      </c>
      <c r="I97" s="73">
        <f t="shared" si="8"/>
        <v>1.6481133311129093E-2</v>
      </c>
      <c r="J97" s="73">
        <f t="shared" si="8"/>
        <v>1.6994121701011833E-2</v>
      </c>
      <c r="K97" s="73">
        <f t="shared" si="8"/>
        <v>1.7082815557793504E-2</v>
      </c>
      <c r="L97" s="73">
        <f t="shared" si="8"/>
        <v>1.7192631184887348E-2</v>
      </c>
      <c r="M97" s="73">
        <f t="shared" si="8"/>
        <v>1.7160573780451972E-2</v>
      </c>
      <c r="N97" s="73">
        <f t="shared" si="8"/>
        <v>1.7096740220172955E-2</v>
      </c>
      <c r="O97" s="73">
        <f t="shared" si="8"/>
        <v>1.7073134720916924E-2</v>
      </c>
      <c r="P97" s="73">
        <f t="shared" si="8"/>
        <v>1.7141632875795794E-2</v>
      </c>
      <c r="Q97" s="73">
        <f t="shared" si="8"/>
        <v>1.8541381101684611E-2</v>
      </c>
      <c r="R97" s="73">
        <f t="shared" ref="R97:AH107" si="10">SUMIF($B$3:$B$53,$B97,R$3:R$53)/R$54</f>
        <v>1.7715138989037118E-2</v>
      </c>
      <c r="S97" s="73">
        <f t="shared" si="10"/>
        <v>1.8290107850516216E-2</v>
      </c>
      <c r="T97" s="73">
        <f t="shared" si="10"/>
        <v>1.8100259537239781E-2</v>
      </c>
      <c r="U97" s="73">
        <f t="shared" si="10"/>
        <v>1.8881066936031778E-2</v>
      </c>
      <c r="V97" s="73">
        <f t="shared" si="10"/>
        <v>1.9874734380779621E-2</v>
      </c>
      <c r="W97" s="73">
        <f t="shared" si="10"/>
        <v>1.9251441062796349E-2</v>
      </c>
      <c r="X97" s="73">
        <f t="shared" si="10"/>
        <v>1.9204649692304458E-2</v>
      </c>
      <c r="Y97" s="73">
        <f t="shared" si="10"/>
        <v>1.9666642239733155E-2</v>
      </c>
      <c r="Z97" s="73">
        <f t="shared" si="10"/>
        <v>1.9778801840088973E-2</v>
      </c>
      <c r="AA97" s="73">
        <f t="shared" si="10"/>
        <v>1.9377906559684712E-2</v>
      </c>
      <c r="AB97" s="73">
        <f t="shared" si="10"/>
        <v>1.9902725424691986E-2</v>
      </c>
      <c r="AC97" s="73">
        <f t="shared" si="10"/>
        <v>1.9752604046888972E-2</v>
      </c>
      <c r="AD97" s="73">
        <f t="shared" si="10"/>
        <v>1.9937348116943896E-2</v>
      </c>
      <c r="AE97" s="73">
        <f t="shared" si="10"/>
        <v>1.9558233248948495E-2</v>
      </c>
      <c r="AF97" s="73">
        <f t="shared" si="10"/>
        <v>1.9619465982436381E-2</v>
      </c>
      <c r="AG97" s="73">
        <f t="shared" si="10"/>
        <v>1.9982792816110748E-2</v>
      </c>
      <c r="AH97" s="73">
        <f t="shared" si="10"/>
        <v>1.9918098170690759E-2</v>
      </c>
    </row>
    <row r="98" spans="2:34">
      <c r="B98" t="s">
        <v>107</v>
      </c>
      <c r="C98" s="73">
        <f t="shared" ref="C98:R107" si="11">SUMIF($B$3:$B$53,$B98,C$3:C$53)/C$54</f>
        <v>3.2702344472522534E-3</v>
      </c>
      <c r="D98" s="73">
        <f t="shared" si="11"/>
        <v>3.3538602512080489E-3</v>
      </c>
      <c r="E98" s="73">
        <f t="shared" si="11"/>
        <v>3.4202128763432863E-3</v>
      </c>
      <c r="F98" s="73">
        <f t="shared" si="11"/>
        <v>3.3567567991750879E-3</v>
      </c>
      <c r="G98" s="73">
        <f t="shared" si="11"/>
        <v>3.4314851506562632E-3</v>
      </c>
      <c r="H98" s="73">
        <f t="shared" si="11"/>
        <v>3.3792848737806374E-3</v>
      </c>
      <c r="I98" s="73">
        <f t="shared" si="11"/>
        <v>3.377701146397718E-3</v>
      </c>
      <c r="J98" s="73">
        <f t="shared" si="11"/>
        <v>3.3352330138886098E-3</v>
      </c>
      <c r="K98" s="73">
        <f t="shared" si="11"/>
        <v>3.3882393005476652E-3</v>
      </c>
      <c r="L98" s="73">
        <f t="shared" si="11"/>
        <v>3.2501080521308537E-3</v>
      </c>
      <c r="M98" s="73">
        <f t="shared" si="11"/>
        <v>3.223533356265009E-3</v>
      </c>
      <c r="N98" s="73">
        <f t="shared" si="11"/>
        <v>3.1035280254586646E-3</v>
      </c>
      <c r="O98" s="73">
        <f t="shared" si="11"/>
        <v>3.148974114339325E-3</v>
      </c>
      <c r="P98" s="73">
        <f t="shared" si="11"/>
        <v>3.0159508161690216E-3</v>
      </c>
      <c r="Q98" s="73">
        <f t="shared" si="11"/>
        <v>2.9369676175951711E-3</v>
      </c>
      <c r="R98" s="73">
        <f t="shared" si="11"/>
        <v>2.9003590806981959E-3</v>
      </c>
      <c r="S98" s="73">
        <f t="shared" si="10"/>
        <v>2.8414186950511387E-3</v>
      </c>
      <c r="T98" s="73">
        <f t="shared" si="10"/>
        <v>2.9440864025013715E-3</v>
      </c>
      <c r="U98" s="73">
        <f t="shared" si="10"/>
        <v>2.9909635346162182E-3</v>
      </c>
      <c r="V98" s="73">
        <f t="shared" si="10"/>
        <v>3.2080171849954821E-3</v>
      </c>
      <c r="W98" s="73">
        <f t="shared" si="10"/>
        <v>3.1832579247442418E-3</v>
      </c>
      <c r="X98" s="73">
        <f t="shared" si="10"/>
        <v>3.277592409920389E-3</v>
      </c>
      <c r="Y98" s="73">
        <f t="shared" si="10"/>
        <v>3.3492418988533253E-3</v>
      </c>
      <c r="Z98" s="73">
        <f t="shared" si="10"/>
        <v>3.2366212201220559E-3</v>
      </c>
      <c r="AA98" s="73">
        <f t="shared" si="10"/>
        <v>3.3295828378280606E-3</v>
      </c>
      <c r="AB98" s="73">
        <f t="shared" si="10"/>
        <v>3.2956338663717201E-3</v>
      </c>
      <c r="AC98" s="73">
        <f t="shared" si="10"/>
        <v>3.348188063332376E-3</v>
      </c>
      <c r="AD98" s="73">
        <f t="shared" si="10"/>
        <v>3.3098143022854245E-3</v>
      </c>
      <c r="AE98" s="73">
        <f t="shared" si="10"/>
        <v>3.294102465751477E-3</v>
      </c>
      <c r="AF98" s="73">
        <f t="shared" si="10"/>
        <v>3.2010315072573069E-3</v>
      </c>
      <c r="AG98" s="73">
        <f t="shared" si="10"/>
        <v>3.6013074444004021E-3</v>
      </c>
      <c r="AH98" s="73">
        <f t="shared" si="10"/>
        <v>3.62048015674104E-3</v>
      </c>
    </row>
    <row r="99" spans="2:34">
      <c r="B99" t="s">
        <v>108</v>
      </c>
      <c r="C99" s="73">
        <f t="shared" si="11"/>
        <v>2.2082826742059233E-2</v>
      </c>
      <c r="D99" s="73">
        <f t="shared" si="11"/>
        <v>2.1511999146129047E-2</v>
      </c>
      <c r="E99" s="73">
        <f t="shared" si="11"/>
        <v>2.2147805846248529E-2</v>
      </c>
      <c r="F99" s="73">
        <f t="shared" si="11"/>
        <v>2.2422055434464482E-2</v>
      </c>
      <c r="G99" s="73">
        <f t="shared" si="11"/>
        <v>2.2715975100737598E-2</v>
      </c>
      <c r="H99" s="73">
        <f t="shared" si="11"/>
        <v>2.2807868535335802E-2</v>
      </c>
      <c r="I99" s="73">
        <f t="shared" si="11"/>
        <v>2.2453502337678611E-2</v>
      </c>
      <c r="J99" s="73">
        <f t="shared" si="11"/>
        <v>2.2624607508200265E-2</v>
      </c>
      <c r="K99" s="73">
        <f t="shared" si="11"/>
        <v>2.249959404515732E-2</v>
      </c>
      <c r="L99" s="73">
        <f t="shared" si="11"/>
        <v>2.2706249233164645E-2</v>
      </c>
      <c r="M99" s="73">
        <f t="shared" si="11"/>
        <v>2.2255981292711696E-2</v>
      </c>
      <c r="N99" s="73">
        <f t="shared" si="11"/>
        <v>2.1880947515893444E-2</v>
      </c>
      <c r="O99" s="73">
        <f t="shared" si="11"/>
        <v>2.2478410677667583E-2</v>
      </c>
      <c r="P99" s="73">
        <f t="shared" si="11"/>
        <v>2.2455917499297543E-2</v>
      </c>
      <c r="Q99" s="73">
        <f t="shared" si="11"/>
        <v>2.2042240052863E-2</v>
      </c>
      <c r="R99" s="73">
        <f t="shared" si="11"/>
        <v>2.239278074326511E-2</v>
      </c>
      <c r="S99" s="73">
        <f t="shared" si="10"/>
        <v>2.2309830600714578E-2</v>
      </c>
      <c r="T99" s="73">
        <f t="shared" si="10"/>
        <v>2.2362660925491044E-2</v>
      </c>
      <c r="U99" s="73">
        <f t="shared" si="10"/>
        <v>2.2547111762512326E-2</v>
      </c>
      <c r="V99" s="73">
        <f t="shared" si="10"/>
        <v>2.3091666256227297E-2</v>
      </c>
      <c r="W99" s="73">
        <f t="shared" si="10"/>
        <v>2.3535186642595622E-2</v>
      </c>
      <c r="X99" s="73">
        <f t="shared" si="10"/>
        <v>2.382087317294071E-2</v>
      </c>
      <c r="Y99" s="73">
        <f t="shared" si="10"/>
        <v>2.3479428162304257E-2</v>
      </c>
      <c r="Z99" s="73">
        <f t="shared" si="10"/>
        <v>2.341656960359783E-2</v>
      </c>
      <c r="AA99" s="73">
        <f t="shared" si="10"/>
        <v>2.3638014233063633E-2</v>
      </c>
      <c r="AB99" s="73">
        <f t="shared" si="10"/>
        <v>2.3149865040644445E-2</v>
      </c>
      <c r="AC99" s="73">
        <f t="shared" si="10"/>
        <v>2.406972606547492E-2</v>
      </c>
      <c r="AD99" s="73">
        <f t="shared" si="10"/>
        <v>2.4191089943239145E-2</v>
      </c>
      <c r="AE99" s="73">
        <f t="shared" si="10"/>
        <v>2.372382872931161E-2</v>
      </c>
      <c r="AF99" s="73">
        <f t="shared" si="10"/>
        <v>2.4092391312655215E-2</v>
      </c>
      <c r="AG99" s="73">
        <f t="shared" si="10"/>
        <v>2.5466847079583813E-2</v>
      </c>
      <c r="AH99" s="73">
        <f t="shared" si="10"/>
        <v>2.4994070073719902E-2</v>
      </c>
    </row>
    <row r="100" spans="2:34">
      <c r="B100" t="s">
        <v>109</v>
      </c>
      <c r="C100" s="73">
        <f t="shared" si="11"/>
        <v>7.7173148746397496E-2</v>
      </c>
      <c r="D100" s="73">
        <f t="shared" si="11"/>
        <v>7.5218836402146758E-2</v>
      </c>
      <c r="E100" s="73">
        <f t="shared" si="11"/>
        <v>7.4980270896582352E-2</v>
      </c>
      <c r="F100" s="73">
        <f t="shared" si="11"/>
        <v>7.5998298136610548E-2</v>
      </c>
      <c r="G100" s="73">
        <f t="shared" si="11"/>
        <v>7.8837801022788506E-2</v>
      </c>
      <c r="H100" s="73">
        <f t="shared" si="11"/>
        <v>7.491913203289996E-2</v>
      </c>
      <c r="I100" s="73">
        <f t="shared" si="11"/>
        <v>7.8307167155764024E-2</v>
      </c>
      <c r="J100" s="73">
        <f t="shared" si="11"/>
        <v>7.6861842051353352E-2</v>
      </c>
      <c r="K100" s="73">
        <f t="shared" si="11"/>
        <v>7.8266521816760679E-2</v>
      </c>
      <c r="L100" s="73">
        <f t="shared" si="11"/>
        <v>7.9218686545296776E-2</v>
      </c>
      <c r="M100" s="73">
        <f t="shared" si="11"/>
        <v>8.0910589260048349E-2</v>
      </c>
      <c r="N100" s="73">
        <f t="shared" si="11"/>
        <v>8.2027425829573827E-2</v>
      </c>
      <c r="O100" s="73">
        <f t="shared" si="11"/>
        <v>8.3605548171212477E-2</v>
      </c>
      <c r="P100" s="73">
        <f t="shared" si="11"/>
        <v>8.3186098896352631E-2</v>
      </c>
      <c r="Q100" s="73">
        <f t="shared" si="11"/>
        <v>8.3148161066494933E-2</v>
      </c>
      <c r="R100" s="73">
        <f t="shared" si="11"/>
        <v>8.3786080668848809E-2</v>
      </c>
      <c r="S100" s="73">
        <f t="shared" si="10"/>
        <v>8.5091829777270811E-2</v>
      </c>
      <c r="T100" s="73">
        <f t="shared" si="10"/>
        <v>8.6628661108436297E-2</v>
      </c>
      <c r="U100" s="73">
        <f t="shared" si="10"/>
        <v>8.8205304075344521E-2</v>
      </c>
      <c r="V100" s="73">
        <f t="shared" si="10"/>
        <v>8.8871293889531883E-2</v>
      </c>
      <c r="W100" s="73">
        <f t="shared" si="10"/>
        <v>8.9737614423219453E-2</v>
      </c>
      <c r="X100" s="73">
        <f t="shared" si="10"/>
        <v>9.0814601813436494E-2</v>
      </c>
      <c r="Y100" s="73">
        <f t="shared" si="10"/>
        <v>9.2747029903187242E-2</v>
      </c>
      <c r="Z100" s="73">
        <f t="shared" si="10"/>
        <v>9.3854696191813886E-2</v>
      </c>
      <c r="AA100" s="73">
        <f t="shared" si="10"/>
        <v>9.7126811612002678E-2</v>
      </c>
      <c r="AB100" s="73">
        <f t="shared" si="10"/>
        <v>0.10023034795946771</v>
      </c>
      <c r="AC100" s="73">
        <f t="shared" si="10"/>
        <v>0.10107360328404197</v>
      </c>
      <c r="AD100" s="73">
        <f t="shared" si="10"/>
        <v>0.10197016655693326</v>
      </c>
      <c r="AE100" s="73">
        <f t="shared" si="10"/>
        <v>0.10377926793596649</v>
      </c>
      <c r="AF100" s="73">
        <f t="shared" si="10"/>
        <v>0.10488209132578907</v>
      </c>
      <c r="AG100" s="73">
        <f t="shared" si="10"/>
        <v>0.10482720884971687</v>
      </c>
      <c r="AH100" s="73">
        <f t="shared" si="10"/>
        <v>0.10587710868640084</v>
      </c>
    </row>
    <row r="101" spans="2:34">
      <c r="B101" t="s">
        <v>112</v>
      </c>
      <c r="C101" s="73">
        <f t="shared" si="11"/>
        <v>6.3848669165306546E-3</v>
      </c>
      <c r="D101" s="73">
        <f t="shared" si="11"/>
        <v>6.6933849150070173E-3</v>
      </c>
      <c r="E101" s="73">
        <f t="shared" si="11"/>
        <v>6.7902339872521382E-3</v>
      </c>
      <c r="F101" s="73">
        <f t="shared" si="11"/>
        <v>6.9081500155170729E-3</v>
      </c>
      <c r="G101" s="73">
        <f t="shared" si="11"/>
        <v>6.9911752289235091E-3</v>
      </c>
      <c r="H101" s="73">
        <f t="shared" si="11"/>
        <v>7.295257738630787E-3</v>
      </c>
      <c r="I101" s="73">
        <f t="shared" si="11"/>
        <v>7.3183789799010357E-3</v>
      </c>
      <c r="J101" s="73">
        <f t="shared" si="11"/>
        <v>7.5366297359428592E-3</v>
      </c>
      <c r="K101" s="73">
        <f t="shared" si="11"/>
        <v>7.5750997211791148E-3</v>
      </c>
      <c r="L101" s="73">
        <f t="shared" si="11"/>
        <v>7.5260317009463755E-3</v>
      </c>
      <c r="M101" s="73">
        <f t="shared" si="11"/>
        <v>7.7216774419390814E-3</v>
      </c>
      <c r="N101" s="73">
        <f t="shared" si="11"/>
        <v>7.2911456137071812E-3</v>
      </c>
      <c r="O101" s="73">
        <f t="shared" si="11"/>
        <v>7.4681284935716732E-3</v>
      </c>
      <c r="P101" s="73">
        <f t="shared" si="11"/>
        <v>7.4496289917984609E-3</v>
      </c>
      <c r="Q101" s="73">
        <f t="shared" si="11"/>
        <v>7.4151644410561813E-3</v>
      </c>
      <c r="R101" s="73">
        <f t="shared" si="11"/>
        <v>7.3737856213418208E-3</v>
      </c>
      <c r="S101" s="73">
        <f t="shared" si="10"/>
        <v>7.4946806741351627E-3</v>
      </c>
      <c r="T101" s="73">
        <f t="shared" si="10"/>
        <v>7.6935664200893416E-3</v>
      </c>
      <c r="U101" s="73">
        <f t="shared" si="10"/>
        <v>7.687716749131151E-3</v>
      </c>
      <c r="V101" s="73">
        <f t="shared" si="10"/>
        <v>7.6966954792220491E-3</v>
      </c>
      <c r="W101" s="73">
        <f t="shared" si="10"/>
        <v>7.569190629067528E-3</v>
      </c>
      <c r="X101" s="73">
        <f t="shared" si="10"/>
        <v>8.027886197193029E-3</v>
      </c>
      <c r="Y101" s="73">
        <f t="shared" si="10"/>
        <v>7.9159990470059095E-3</v>
      </c>
      <c r="Z101" s="73">
        <f t="shared" si="10"/>
        <v>8.0553759840228667E-3</v>
      </c>
      <c r="AA101" s="73">
        <f t="shared" si="10"/>
        <v>8.1646671761123196E-3</v>
      </c>
      <c r="AB101" s="73">
        <f t="shared" si="10"/>
        <v>7.8938818340071621E-3</v>
      </c>
      <c r="AC101" s="73">
        <f t="shared" si="10"/>
        <v>8.3761355759820258E-3</v>
      </c>
      <c r="AD101" s="73">
        <f t="shared" si="10"/>
        <v>8.4612828370762647E-3</v>
      </c>
      <c r="AE101" s="73">
        <f t="shared" si="10"/>
        <v>8.4356119983496278E-3</v>
      </c>
      <c r="AF101" s="73">
        <f t="shared" si="10"/>
        <v>8.748394571544171E-3</v>
      </c>
      <c r="AG101" s="73">
        <f t="shared" si="10"/>
        <v>9.3758239799825033E-3</v>
      </c>
      <c r="AH101" s="73">
        <f t="shared" si="10"/>
        <v>9.0494355905591812E-3</v>
      </c>
    </row>
    <row r="102" spans="2:34">
      <c r="B102" t="s">
        <v>114</v>
      </c>
      <c r="C102" s="73">
        <f t="shared" si="11"/>
        <v>2.6826409144221443E-2</v>
      </c>
      <c r="D102" s="73">
        <f t="shared" si="11"/>
        <v>2.7131308476246414E-2</v>
      </c>
      <c r="E102" s="73">
        <f t="shared" si="11"/>
        <v>2.7108932954695786E-2</v>
      </c>
      <c r="F102" s="73">
        <f t="shared" si="11"/>
        <v>2.7209280810520795E-2</v>
      </c>
      <c r="G102" s="73">
        <f t="shared" si="11"/>
        <v>2.720304383445854E-2</v>
      </c>
      <c r="H102" s="73">
        <f t="shared" si="11"/>
        <v>2.7887486892896111E-2</v>
      </c>
      <c r="I102" s="73">
        <f t="shared" si="11"/>
        <v>2.7557317250248625E-2</v>
      </c>
      <c r="J102" s="73">
        <f t="shared" si="11"/>
        <v>2.8021229444932294E-2</v>
      </c>
      <c r="K102" s="73">
        <f t="shared" si="11"/>
        <v>2.742665241264208E-2</v>
      </c>
      <c r="L102" s="73">
        <f t="shared" si="11"/>
        <v>2.7679482348968661E-2</v>
      </c>
      <c r="M102" s="73">
        <f t="shared" si="11"/>
        <v>2.7774777965023041E-2</v>
      </c>
      <c r="N102" s="73">
        <f t="shared" si="11"/>
        <v>2.9038073080796058E-2</v>
      </c>
      <c r="O102" s="73">
        <f t="shared" si="11"/>
        <v>2.8522904213508643E-2</v>
      </c>
      <c r="P102" s="73">
        <f t="shared" si="11"/>
        <v>2.8756301598498273E-2</v>
      </c>
      <c r="Q102" s="73">
        <f t="shared" si="11"/>
        <v>2.8611501537913104E-2</v>
      </c>
      <c r="R102" s="73">
        <f t="shared" si="11"/>
        <v>2.8702686847099902E-2</v>
      </c>
      <c r="S102" s="73">
        <f t="shared" si="10"/>
        <v>2.8954375853095494E-2</v>
      </c>
      <c r="T102" s="73">
        <f t="shared" si="10"/>
        <v>2.9533658489093596E-2</v>
      </c>
      <c r="U102" s="73">
        <f t="shared" si="10"/>
        <v>2.928604599665573E-2</v>
      </c>
      <c r="V102" s="73">
        <f t="shared" si="10"/>
        <v>2.8970630021937588E-2</v>
      </c>
      <c r="W102" s="73">
        <f t="shared" si="10"/>
        <v>2.9659908237831684E-2</v>
      </c>
      <c r="X102" s="73">
        <f t="shared" si="10"/>
        <v>2.8532644599948566E-2</v>
      </c>
      <c r="Y102" s="73">
        <f t="shared" si="10"/>
        <v>2.9504079915252415E-2</v>
      </c>
      <c r="Z102" s="73">
        <f t="shared" si="10"/>
        <v>2.9103284541742932E-2</v>
      </c>
      <c r="AA102" s="73">
        <f t="shared" si="10"/>
        <v>2.9305651826726651E-2</v>
      </c>
      <c r="AB102" s="73">
        <f t="shared" si="10"/>
        <v>2.8855782278557032E-2</v>
      </c>
      <c r="AC102" s="73">
        <f t="shared" si="10"/>
        <v>2.8736931059930079E-2</v>
      </c>
      <c r="AD102" s="73">
        <f t="shared" si="10"/>
        <v>2.8944541150070818E-2</v>
      </c>
      <c r="AE102" s="73">
        <f t="shared" si="10"/>
        <v>2.896065607859118E-2</v>
      </c>
      <c r="AF102" s="73">
        <f t="shared" si="10"/>
        <v>2.8803353048224054E-2</v>
      </c>
      <c r="AG102" s="73">
        <f t="shared" si="10"/>
        <v>2.9829768315549437E-2</v>
      </c>
      <c r="AH102" s="73">
        <f t="shared" si="10"/>
        <v>2.9631781695988315E-2</v>
      </c>
    </row>
    <row r="103" spans="2:34">
      <c r="B103" t="s">
        <v>113</v>
      </c>
      <c r="C103" s="73">
        <f t="shared" si="11"/>
        <v>2.5495242120074074E-3</v>
      </c>
      <c r="D103" s="73">
        <f t="shared" si="11"/>
        <v>2.594435519890039E-3</v>
      </c>
      <c r="E103" s="73">
        <f t="shared" si="11"/>
        <v>2.5942474523781745E-3</v>
      </c>
      <c r="F103" s="73">
        <f t="shared" si="11"/>
        <v>2.6110698820044432E-3</v>
      </c>
      <c r="G103" s="73">
        <f t="shared" si="11"/>
        <v>2.5875767117093198E-3</v>
      </c>
      <c r="H103" s="73">
        <f t="shared" si="11"/>
        <v>2.5427264720384148E-3</v>
      </c>
      <c r="I103" s="73">
        <f t="shared" si="11"/>
        <v>2.5457868712035953E-3</v>
      </c>
      <c r="J103" s="73">
        <f t="shared" si="11"/>
        <v>2.6116631764587697E-3</v>
      </c>
      <c r="K103" s="73">
        <f t="shared" si="11"/>
        <v>2.5061015125130005E-3</v>
      </c>
      <c r="L103" s="73">
        <f t="shared" si="11"/>
        <v>2.5051689635194694E-3</v>
      </c>
      <c r="M103" s="73">
        <f t="shared" si="11"/>
        <v>2.7187116767989081E-3</v>
      </c>
      <c r="N103" s="73">
        <f t="shared" si="11"/>
        <v>2.553806779242971E-3</v>
      </c>
      <c r="O103" s="73">
        <f t="shared" si="11"/>
        <v>2.5304177033071158E-3</v>
      </c>
      <c r="P103" s="73">
        <f t="shared" si="11"/>
        <v>2.5445188673422388E-3</v>
      </c>
      <c r="Q103" s="73">
        <f t="shared" si="11"/>
        <v>2.5154085362518786E-3</v>
      </c>
      <c r="R103" s="73">
        <f t="shared" si="11"/>
        <v>2.5074195666700385E-3</v>
      </c>
      <c r="S103" s="73">
        <f t="shared" si="10"/>
        <v>2.4756117915397551E-3</v>
      </c>
      <c r="T103" s="73">
        <f t="shared" si="10"/>
        <v>2.4681436996195787E-3</v>
      </c>
      <c r="U103" s="73">
        <f t="shared" si="10"/>
        <v>2.4403097616125711E-3</v>
      </c>
      <c r="V103" s="73">
        <f t="shared" si="10"/>
        <v>2.427368650367849E-3</v>
      </c>
      <c r="W103" s="73">
        <f t="shared" si="10"/>
        <v>2.4024555659498351E-3</v>
      </c>
      <c r="X103" s="73">
        <f t="shared" si="10"/>
        <v>2.3872970151752426E-3</v>
      </c>
      <c r="Y103" s="73">
        <f t="shared" si="10"/>
        <v>2.3446877586809395E-3</v>
      </c>
      <c r="Z103" s="73">
        <f t="shared" si="10"/>
        <v>2.3559038698729661E-3</v>
      </c>
      <c r="AA103" s="73">
        <f t="shared" si="10"/>
        <v>2.2968216906421048E-3</v>
      </c>
      <c r="AB103" s="73">
        <f t="shared" si="10"/>
        <v>2.2095764008641505E-3</v>
      </c>
      <c r="AC103" s="73">
        <f t="shared" si="10"/>
        <v>2.1627731883017889E-3</v>
      </c>
      <c r="AD103" s="73">
        <f t="shared" si="10"/>
        <v>2.1608101460449834E-3</v>
      </c>
      <c r="AE103" s="73">
        <f t="shared" si="10"/>
        <v>1.9803865045843103E-3</v>
      </c>
      <c r="AF103" s="73">
        <f t="shared" si="10"/>
        <v>2.1234043749020397E-3</v>
      </c>
      <c r="AG103" s="73">
        <f t="shared" si="10"/>
        <v>2.0187541554006674E-3</v>
      </c>
      <c r="AH103" s="73">
        <f t="shared" si="10"/>
        <v>2.0367513547099566E-3</v>
      </c>
    </row>
    <row r="104" spans="2:34">
      <c r="B104" t="s">
        <v>115</v>
      </c>
      <c r="C104" s="73">
        <f t="shared" si="11"/>
        <v>2.0368566424725051E-2</v>
      </c>
      <c r="D104" s="73">
        <f t="shared" si="11"/>
        <v>2.0761118313706427E-2</v>
      </c>
      <c r="E104" s="73">
        <f t="shared" si="11"/>
        <v>2.0833682700761046E-2</v>
      </c>
      <c r="F104" s="73">
        <f t="shared" si="11"/>
        <v>2.1106781634584855E-2</v>
      </c>
      <c r="G104" s="73">
        <f t="shared" si="11"/>
        <v>2.0786383317554009E-2</v>
      </c>
      <c r="H104" s="73">
        <f t="shared" si="11"/>
        <v>2.076009097717843E-2</v>
      </c>
      <c r="I104" s="73">
        <f t="shared" si="11"/>
        <v>2.1412308398702829E-2</v>
      </c>
      <c r="J104" s="73">
        <f t="shared" si="11"/>
        <v>2.1016467818432104E-2</v>
      </c>
      <c r="K104" s="73">
        <f t="shared" si="11"/>
        <v>2.0620477035915664E-2</v>
      </c>
      <c r="L104" s="73">
        <f t="shared" si="11"/>
        <v>2.0481886871228799E-2</v>
      </c>
      <c r="M104" s="73">
        <f t="shared" si="11"/>
        <v>2.0287318599466975E-2</v>
      </c>
      <c r="N104" s="73">
        <f t="shared" si="11"/>
        <v>2.0223555964123553E-2</v>
      </c>
      <c r="O104" s="73">
        <f t="shared" si="11"/>
        <v>2.0006328620323088E-2</v>
      </c>
      <c r="P104" s="73">
        <f t="shared" si="11"/>
        <v>1.9794326104700215E-2</v>
      </c>
      <c r="Q104" s="73">
        <f t="shared" si="11"/>
        <v>1.932665617576396E-2</v>
      </c>
      <c r="R104" s="73">
        <f t="shared" si="11"/>
        <v>1.9520740294611868E-2</v>
      </c>
      <c r="S104" s="73">
        <f t="shared" si="10"/>
        <v>1.9479328858099755E-2</v>
      </c>
      <c r="T104" s="73">
        <f t="shared" si="10"/>
        <v>1.9468597577237415E-2</v>
      </c>
      <c r="U104" s="73">
        <f t="shared" si="10"/>
        <v>1.9389113206071163E-2</v>
      </c>
      <c r="V104" s="73">
        <f t="shared" si="10"/>
        <v>1.9656418501519977E-2</v>
      </c>
      <c r="W104" s="73">
        <f t="shared" si="10"/>
        <v>1.9381139817845339E-2</v>
      </c>
      <c r="X104" s="73">
        <f t="shared" si="10"/>
        <v>1.973566713578832E-2</v>
      </c>
      <c r="Y104" s="73">
        <f t="shared" si="10"/>
        <v>1.9745360865173218E-2</v>
      </c>
      <c r="Z104" s="73">
        <f t="shared" si="10"/>
        <v>1.9989976896259202E-2</v>
      </c>
      <c r="AA104" s="73">
        <f t="shared" si="10"/>
        <v>1.9888010943418497E-2</v>
      </c>
      <c r="AB104" s="73">
        <f t="shared" si="10"/>
        <v>1.9873045089691448E-2</v>
      </c>
      <c r="AC104" s="73">
        <f t="shared" si="10"/>
        <v>1.9719164804424951E-2</v>
      </c>
      <c r="AD104" s="73">
        <f t="shared" si="10"/>
        <v>1.9718383893551666E-2</v>
      </c>
      <c r="AE104" s="73">
        <f t="shared" si="10"/>
        <v>2.0436864016344182E-2</v>
      </c>
      <c r="AF104" s="73">
        <f t="shared" si="10"/>
        <v>2.0660760430155471E-2</v>
      </c>
      <c r="AG104" s="73">
        <f t="shared" si="10"/>
        <v>1.8660723384020139E-2</v>
      </c>
      <c r="AH104" s="73">
        <f t="shared" si="10"/>
        <v>1.8782636654556716E-2</v>
      </c>
    </row>
    <row r="105" spans="2:34">
      <c r="B105" t="s">
        <v>117</v>
      </c>
      <c r="C105" s="73">
        <f t="shared" si="11"/>
        <v>1.8426184824655752E-2</v>
      </c>
      <c r="D105" s="73">
        <f t="shared" si="11"/>
        <v>1.8784818125505278E-2</v>
      </c>
      <c r="E105" s="73">
        <f t="shared" si="11"/>
        <v>1.8778866066013308E-2</v>
      </c>
      <c r="F105" s="73">
        <f t="shared" si="11"/>
        <v>1.8823771416120169E-2</v>
      </c>
      <c r="G105" s="73">
        <f t="shared" si="11"/>
        <v>1.899300981023138E-2</v>
      </c>
      <c r="H105" s="73">
        <f t="shared" si="11"/>
        <v>1.9250094861150764E-2</v>
      </c>
      <c r="I105" s="73">
        <f t="shared" si="11"/>
        <v>1.9403568353815636E-2</v>
      </c>
      <c r="J105" s="73">
        <f t="shared" si="11"/>
        <v>1.8977495363177246E-2</v>
      </c>
      <c r="K105" s="73">
        <f t="shared" si="11"/>
        <v>1.9514879632384231E-2</v>
      </c>
      <c r="L105" s="73">
        <f t="shared" si="11"/>
        <v>1.9067787328799397E-2</v>
      </c>
      <c r="M105" s="73">
        <f t="shared" si="11"/>
        <v>1.8673545727515013E-2</v>
      </c>
      <c r="N105" s="73">
        <f t="shared" si="11"/>
        <v>1.8647825650376693E-2</v>
      </c>
      <c r="O105" s="73">
        <f t="shared" si="11"/>
        <v>1.8608018072076248E-2</v>
      </c>
      <c r="P105" s="73">
        <f t="shared" si="11"/>
        <v>1.8591157436701398E-2</v>
      </c>
      <c r="Q105" s="73">
        <f t="shared" si="11"/>
        <v>1.8176983567425625E-2</v>
      </c>
      <c r="R105" s="73">
        <f t="shared" si="11"/>
        <v>1.8168547807750606E-2</v>
      </c>
      <c r="S105" s="73">
        <f t="shared" si="10"/>
        <v>1.7686449329080221E-2</v>
      </c>
      <c r="T105" s="73">
        <f t="shared" si="10"/>
        <v>1.8159926835486277E-2</v>
      </c>
      <c r="U105" s="73">
        <f t="shared" si="10"/>
        <v>1.8423385985822913E-2</v>
      </c>
      <c r="V105" s="73">
        <f t="shared" si="10"/>
        <v>1.8375727300506774E-2</v>
      </c>
      <c r="W105" s="73">
        <f t="shared" si="10"/>
        <v>1.8725721397352731E-2</v>
      </c>
      <c r="X105" s="73">
        <f t="shared" si="10"/>
        <v>1.8524585679522438E-2</v>
      </c>
      <c r="Y105" s="73">
        <f t="shared" si="10"/>
        <v>1.8379397578357853E-2</v>
      </c>
      <c r="Z105" s="73">
        <f t="shared" si="10"/>
        <v>1.8046483965779663E-2</v>
      </c>
      <c r="AA105" s="73">
        <f t="shared" si="10"/>
        <v>1.9013821243194905E-2</v>
      </c>
      <c r="AB105" s="73">
        <f t="shared" si="10"/>
        <v>1.7934017027191832E-2</v>
      </c>
      <c r="AC105" s="73">
        <f t="shared" si="10"/>
        <v>1.7853221141441351E-2</v>
      </c>
      <c r="AD105" s="73">
        <f t="shared" si="10"/>
        <v>1.7652503082727426E-2</v>
      </c>
      <c r="AE105" s="73">
        <f t="shared" si="10"/>
        <v>1.8407673311823379E-2</v>
      </c>
      <c r="AF105" s="73">
        <f t="shared" si="10"/>
        <v>1.8085659360034447E-2</v>
      </c>
      <c r="AG105" s="73">
        <f t="shared" si="10"/>
        <v>1.8366721697314244E-2</v>
      </c>
      <c r="AH105" s="73">
        <f t="shared" si="10"/>
        <v>1.8220398113262187E-2</v>
      </c>
    </row>
    <row r="106" spans="2:34">
      <c r="B106" t="s">
        <v>116</v>
      </c>
      <c r="C106" s="73">
        <f t="shared" si="11"/>
        <v>7.4272166566772685E-3</v>
      </c>
      <c r="D106" s="73">
        <f t="shared" si="11"/>
        <v>7.3973113703114639E-3</v>
      </c>
      <c r="E106" s="73">
        <f t="shared" si="11"/>
        <v>7.4920626498842582E-3</v>
      </c>
      <c r="F106" s="73">
        <f t="shared" si="11"/>
        <v>7.2600685636779027E-3</v>
      </c>
      <c r="G106" s="73">
        <f t="shared" si="11"/>
        <v>7.2550019695807252E-3</v>
      </c>
      <c r="H106" s="73">
        <f t="shared" si="11"/>
        <v>7.4092243838971361E-3</v>
      </c>
      <c r="I106" s="73">
        <f t="shared" si="11"/>
        <v>6.5851638456779858E-3</v>
      </c>
      <c r="J106" s="73">
        <f t="shared" si="11"/>
        <v>6.8058330476563596E-3</v>
      </c>
      <c r="K106" s="73">
        <f t="shared" si="11"/>
        <v>6.5759712329267195E-3</v>
      </c>
      <c r="L106" s="73">
        <f t="shared" si="11"/>
        <v>6.3439673324798941E-3</v>
      </c>
      <c r="M106" s="73">
        <f t="shared" si="11"/>
        <v>6.284807088156364E-3</v>
      </c>
      <c r="N106" s="73">
        <f t="shared" si="11"/>
        <v>6.3117119831598827E-3</v>
      </c>
      <c r="O106" s="73">
        <f t="shared" si="11"/>
        <v>6.0100758055774009E-3</v>
      </c>
      <c r="P106" s="73">
        <f t="shared" si="11"/>
        <v>6.0534414324293871E-3</v>
      </c>
      <c r="Q106" s="73">
        <f t="shared" si="11"/>
        <v>6.1385785413837395E-3</v>
      </c>
      <c r="R106" s="73">
        <f t="shared" si="11"/>
        <v>6.0778827037674087E-3</v>
      </c>
      <c r="S106" s="73">
        <f t="shared" si="10"/>
        <v>6.0472055104800705E-3</v>
      </c>
      <c r="T106" s="73">
        <f t="shared" si="10"/>
        <v>6.0025449727306784E-3</v>
      </c>
      <c r="U106" s="73">
        <f t="shared" si="10"/>
        <v>5.6637280368907932E-3</v>
      </c>
      <c r="V106" s="73">
        <f t="shared" si="10"/>
        <v>6.1343000599195091E-3</v>
      </c>
      <c r="W106" s="73">
        <f t="shared" si="10"/>
        <v>6.3107672206318055E-3</v>
      </c>
      <c r="X106" s="73">
        <f t="shared" si="10"/>
        <v>6.1623740566582787E-3</v>
      </c>
      <c r="Y106" s="73">
        <f t="shared" si="10"/>
        <v>6.0742260808545759E-3</v>
      </c>
      <c r="Z106" s="73">
        <f t="shared" si="10"/>
        <v>5.9001139318636256E-3</v>
      </c>
      <c r="AA106" s="73">
        <f t="shared" si="10"/>
        <v>6.0376873168261642E-3</v>
      </c>
      <c r="AB106" s="73">
        <f t="shared" si="10"/>
        <v>6.1364292285149055E-3</v>
      </c>
      <c r="AC106" s="73">
        <f t="shared" si="10"/>
        <v>5.7479940640881638E-3</v>
      </c>
      <c r="AD106" s="73">
        <f t="shared" si="10"/>
        <v>5.5773201726566825E-3</v>
      </c>
      <c r="AE106" s="73">
        <f t="shared" si="10"/>
        <v>5.8496470207607303E-3</v>
      </c>
      <c r="AF106" s="73">
        <f t="shared" si="10"/>
        <v>5.8178740111836475E-3</v>
      </c>
      <c r="AG106" s="73">
        <f t="shared" si="10"/>
        <v>5.6723170051865132E-3</v>
      </c>
      <c r="AH106" s="73">
        <f t="shared" si="10"/>
        <v>5.9464029304172519E-3</v>
      </c>
    </row>
    <row r="107" spans="2:34">
      <c r="B107" t="s">
        <v>118</v>
      </c>
      <c r="C107" s="73">
        <f t="shared" si="11"/>
        <v>2.5772975627670423E-3</v>
      </c>
      <c r="D107" s="73">
        <f t="shared" si="11"/>
        <v>2.6010982783561858E-3</v>
      </c>
      <c r="E107" s="73">
        <f t="shared" si="11"/>
        <v>2.6377079343692473E-3</v>
      </c>
      <c r="F107" s="73">
        <f t="shared" si="11"/>
        <v>2.6747991446132392E-3</v>
      </c>
      <c r="G107" s="73">
        <f t="shared" si="11"/>
        <v>2.6613825017398345E-3</v>
      </c>
      <c r="H107" s="73">
        <f t="shared" si="11"/>
        <v>2.6770073877824922E-3</v>
      </c>
      <c r="I107" s="73">
        <f t="shared" si="11"/>
        <v>2.6123644453564287E-3</v>
      </c>
      <c r="J107" s="73">
        <f t="shared" si="11"/>
        <v>2.4784294832627166E-3</v>
      </c>
      <c r="K107" s="73">
        <f t="shared" si="11"/>
        <v>2.576433870677896E-3</v>
      </c>
      <c r="L107" s="73">
        <f t="shared" si="11"/>
        <v>2.5145286657464075E-3</v>
      </c>
      <c r="M107" s="73">
        <f t="shared" si="11"/>
        <v>2.4700120071933169E-3</v>
      </c>
      <c r="N107" s="73">
        <f t="shared" si="11"/>
        <v>2.4818153422096318E-3</v>
      </c>
      <c r="O107" s="73">
        <f t="shared" si="11"/>
        <v>2.3564261486328929E-3</v>
      </c>
      <c r="P107" s="73">
        <f t="shared" si="11"/>
        <v>2.3101658423484205E-3</v>
      </c>
      <c r="Q107" s="73">
        <f t="shared" si="11"/>
        <v>2.2096968569994485E-3</v>
      </c>
      <c r="R107" s="73">
        <f t="shared" si="11"/>
        <v>2.2467002487075722E-3</v>
      </c>
      <c r="S107" s="73">
        <f t="shared" si="10"/>
        <v>2.2513915313447249E-3</v>
      </c>
      <c r="T107" s="73">
        <f t="shared" si="10"/>
        <v>2.3281101629056811E-3</v>
      </c>
      <c r="U107" s="73">
        <f t="shared" si="10"/>
        <v>2.3526297963288772E-3</v>
      </c>
      <c r="V107" s="73">
        <f t="shared" si="10"/>
        <v>2.4512991400964818E-3</v>
      </c>
      <c r="W107" s="73">
        <f t="shared" si="10"/>
        <v>2.4814683107519356E-3</v>
      </c>
      <c r="X107" s="73">
        <f t="shared" si="10"/>
        <v>2.3995994893353432E-3</v>
      </c>
      <c r="Y107" s="73">
        <f t="shared" si="10"/>
        <v>2.5510883459049301E-3</v>
      </c>
      <c r="Z107" s="73">
        <f t="shared" si="10"/>
        <v>2.5469720934147297E-3</v>
      </c>
      <c r="AA107" s="73">
        <f t="shared" si="10"/>
        <v>2.4782339875995311E-3</v>
      </c>
      <c r="AB107" s="73">
        <f t="shared" si="10"/>
        <v>2.3751509555298635E-3</v>
      </c>
      <c r="AC107" s="73">
        <f t="shared" si="10"/>
        <v>2.3673183714128456E-3</v>
      </c>
      <c r="AD107" s="73">
        <f t="shared" si="10"/>
        <v>2.326685190451646E-3</v>
      </c>
      <c r="AE107" s="73">
        <f t="shared" si="10"/>
        <v>2.1777608859171863E-3</v>
      </c>
      <c r="AF107" s="73">
        <f t="shared" si="10"/>
        <v>2.1576426390039717E-3</v>
      </c>
      <c r="AG107" s="73">
        <f t="shared" si="10"/>
        <v>2.3292077234495548E-3</v>
      </c>
      <c r="AH107" s="73">
        <f t="shared" si="10"/>
        <v>2.284071771575105E-3</v>
      </c>
    </row>
    <row r="108" spans="2:34">
      <c r="C108" s="73">
        <f>SUM(C57:C107)</f>
        <v>0.99999999999999978</v>
      </c>
      <c r="D108" s="73">
        <f t="shared" ref="D108:AG108" si="12">SUM(D57:D107)</f>
        <v>0.99999999999999967</v>
      </c>
      <c r="E108" s="73">
        <f t="shared" si="12"/>
        <v>0.99999999999999989</v>
      </c>
      <c r="F108" s="73">
        <f t="shared" si="12"/>
        <v>0.99999999999999989</v>
      </c>
      <c r="G108" s="73">
        <f t="shared" si="12"/>
        <v>1.0000000000000002</v>
      </c>
      <c r="H108" s="73">
        <f t="shared" si="12"/>
        <v>1</v>
      </c>
      <c r="I108" s="73">
        <f t="shared" si="12"/>
        <v>1</v>
      </c>
      <c r="J108" s="73">
        <f t="shared" si="12"/>
        <v>1.0000000000000004</v>
      </c>
      <c r="K108" s="73">
        <f t="shared" si="12"/>
        <v>0.99999999999999978</v>
      </c>
      <c r="L108" s="73">
        <f t="shared" si="12"/>
        <v>0.99999999999999989</v>
      </c>
      <c r="M108" s="73">
        <f t="shared" si="12"/>
        <v>0.99999999999999967</v>
      </c>
      <c r="N108" s="73">
        <f t="shared" si="12"/>
        <v>0.99999999999999944</v>
      </c>
      <c r="O108" s="73">
        <f t="shared" si="12"/>
        <v>0.99999999999999978</v>
      </c>
      <c r="P108" s="73">
        <f t="shared" si="12"/>
        <v>0.99999999999999989</v>
      </c>
      <c r="Q108" s="73">
        <f t="shared" si="12"/>
        <v>1</v>
      </c>
      <c r="R108" s="73">
        <f t="shared" si="12"/>
        <v>0.99999999999999989</v>
      </c>
      <c r="S108" s="73">
        <f t="shared" si="12"/>
        <v>1</v>
      </c>
      <c r="T108" s="73">
        <f t="shared" si="12"/>
        <v>0.99999999999999978</v>
      </c>
      <c r="U108" s="73">
        <f t="shared" si="12"/>
        <v>0.99999999999999989</v>
      </c>
      <c r="V108" s="73">
        <f t="shared" si="12"/>
        <v>0.99999999999999989</v>
      </c>
      <c r="W108" s="73">
        <f t="shared" si="12"/>
        <v>1</v>
      </c>
      <c r="X108" s="73">
        <f t="shared" si="12"/>
        <v>1.0000000000000002</v>
      </c>
      <c r="Y108" s="73">
        <f t="shared" si="12"/>
        <v>0.99999999999999989</v>
      </c>
      <c r="Z108" s="73">
        <f t="shared" si="12"/>
        <v>0.99999999999999989</v>
      </c>
      <c r="AA108" s="73">
        <f t="shared" si="12"/>
        <v>1.0000000000000002</v>
      </c>
      <c r="AB108" s="73">
        <f t="shared" si="12"/>
        <v>1</v>
      </c>
      <c r="AC108" s="73">
        <f t="shared" si="12"/>
        <v>1.0000000000000004</v>
      </c>
      <c r="AD108" s="73">
        <f t="shared" si="12"/>
        <v>1.0000000035324443</v>
      </c>
      <c r="AE108" s="73">
        <f t="shared" si="12"/>
        <v>1</v>
      </c>
      <c r="AF108" s="73">
        <f t="shared" si="12"/>
        <v>0.99999999999999978</v>
      </c>
      <c r="AG108" s="73">
        <f t="shared" si="12"/>
        <v>0.99999999999999967</v>
      </c>
      <c r="AH108" s="73">
        <f t="shared" ref="AH108" si="13">SUM(AH57:AH107)</f>
        <v>1</v>
      </c>
    </row>
  </sheetData>
  <conditionalFormatting sqref="C55:AH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6"/>
  <sheetViews>
    <sheetView showGridLines="0" view="pageLayout" topLeftCell="BP31" zoomScale="150" zoomScaleNormal="95" zoomScalePageLayoutView="150" workbookViewId="0">
      <selection activeCell="BR31" sqref="BR31"/>
    </sheetView>
  </sheetViews>
  <sheetFormatPr defaultRowHeight="14.5"/>
  <cols>
    <col min="1" max="1" width="12" bestFit="1" customWidth="1"/>
    <col min="2" max="2" width="10.1796875" customWidth="1"/>
    <col min="3" max="3" width="9.1796875" bestFit="1" customWidth="1"/>
    <col min="4" max="5" width="9.453125" bestFit="1" customWidth="1"/>
    <col min="6" max="6" width="9" bestFit="1" customWidth="1"/>
    <col min="7" max="7" width="9.26953125" bestFit="1" customWidth="1"/>
    <col min="8" max="8" width="9" bestFit="1" customWidth="1"/>
    <col min="9" max="9" width="9.26953125" customWidth="1"/>
    <col min="10" max="10" width="9.453125" bestFit="1" customWidth="1"/>
    <col min="11" max="11" width="9.26953125" customWidth="1"/>
    <col min="12" max="12" width="10" customWidth="1"/>
    <col min="13" max="13" width="9" bestFit="1" customWidth="1"/>
    <col min="14" max="15" width="9.26953125" bestFit="1" customWidth="1"/>
    <col min="16" max="16" width="9" bestFit="1" customWidth="1"/>
    <col min="17" max="17" width="9.453125" bestFit="1" customWidth="1"/>
    <col min="18" max="18" width="9" bestFit="1" customWidth="1"/>
    <col min="19" max="19" width="9.26953125" bestFit="1" customWidth="1"/>
    <col min="20" max="20" width="9.453125" bestFit="1" customWidth="1"/>
    <col min="21" max="21" width="9" bestFit="1" customWidth="1"/>
    <col min="22" max="22" width="9.1796875" bestFit="1" customWidth="1"/>
    <col min="23" max="25" width="9.26953125" bestFit="1" customWidth="1"/>
    <col min="26" max="26" width="10.7265625" bestFit="1" customWidth="1"/>
    <col min="27" max="27" width="9" bestFit="1" customWidth="1"/>
    <col min="28" max="28" width="9.26953125" bestFit="1" customWidth="1"/>
    <col min="29" max="30" width="9.7265625" bestFit="1" customWidth="1"/>
    <col min="31" max="31" width="9.81640625" bestFit="1" customWidth="1"/>
    <col min="32" max="32" width="9.7265625" bestFit="1" customWidth="1"/>
    <col min="33" max="33" width="9.26953125" bestFit="1" customWidth="1"/>
    <col min="34" max="34" width="9" bestFit="1" customWidth="1"/>
    <col min="35" max="35" width="9.26953125" customWidth="1"/>
    <col min="36" max="36" width="9.81640625" customWidth="1"/>
    <col min="37" max="37" width="9.26953125" customWidth="1"/>
    <col min="38" max="38" width="9.7265625" customWidth="1"/>
    <col min="39" max="40" width="9.54296875" customWidth="1"/>
    <col min="41" max="41" width="9.81640625" customWidth="1"/>
    <col min="42" max="42" width="9.26953125" customWidth="1"/>
    <col min="43" max="43" width="9.81640625" customWidth="1"/>
    <col min="44" max="44" width="9.7265625" customWidth="1"/>
    <col min="45" max="45" width="9.54296875" customWidth="1"/>
    <col min="46" max="46" width="9.81640625" customWidth="1"/>
    <col min="47" max="47" width="9.1796875" customWidth="1"/>
    <col min="48" max="48" width="10" customWidth="1"/>
    <col min="49" max="49" width="9" customWidth="1"/>
    <col min="50" max="50" width="9.7265625" customWidth="1"/>
    <col min="51" max="51" width="10" customWidth="1"/>
    <col min="52" max="52" width="9.7265625" customWidth="1"/>
    <col min="53" max="54" width="10.7265625" bestFit="1" customWidth="1"/>
    <col min="55" max="55" width="9.81640625" customWidth="1"/>
    <col min="56" max="56" width="10.7265625" bestFit="1" customWidth="1"/>
    <col min="57" max="57" width="9.81640625" customWidth="1"/>
    <col min="58" max="58" width="9.26953125" customWidth="1"/>
    <col min="59" max="59" width="9.7265625" customWidth="1"/>
    <col min="60" max="60" width="9.1796875" customWidth="1"/>
    <col min="61" max="63" width="11" bestFit="1" customWidth="1"/>
    <col min="64" max="64" width="10.7265625" bestFit="1" customWidth="1"/>
    <col min="65" max="65" width="11" bestFit="1" customWidth="1"/>
    <col min="66" max="66" width="10.1796875" customWidth="1"/>
    <col min="67" max="67" width="10.81640625" bestFit="1" customWidth="1"/>
    <col min="68" max="68" width="10.81640625" customWidth="1"/>
    <col min="69" max="70" width="11.1796875" bestFit="1" customWidth="1"/>
    <col min="71" max="71" width="9.54296875" customWidth="1"/>
    <col min="72" max="72" width="10.453125" bestFit="1" customWidth="1"/>
  </cols>
  <sheetData>
    <row r="1" spans="1:74" ht="7.5" customHeight="1" thickTop="1">
      <c r="A1" s="50" t="s">
        <v>0</v>
      </c>
      <c r="B1" s="50">
        <v>1949</v>
      </c>
      <c r="C1" s="50">
        <v>1950</v>
      </c>
      <c r="D1" s="50">
        <v>1951</v>
      </c>
      <c r="E1" s="50">
        <v>1952</v>
      </c>
      <c r="F1" s="50">
        <v>1953</v>
      </c>
      <c r="G1" s="50">
        <v>1954</v>
      </c>
      <c r="H1" s="50">
        <v>1955</v>
      </c>
      <c r="I1" s="50">
        <v>1956</v>
      </c>
      <c r="J1" s="50">
        <v>1957</v>
      </c>
      <c r="K1" s="50">
        <v>1958</v>
      </c>
      <c r="L1" s="50">
        <v>1959</v>
      </c>
      <c r="M1" s="50">
        <v>1960</v>
      </c>
      <c r="N1" s="50">
        <v>1961</v>
      </c>
      <c r="O1" s="50">
        <v>1962</v>
      </c>
      <c r="P1" s="50">
        <v>1963</v>
      </c>
      <c r="Q1" s="50">
        <v>1964</v>
      </c>
      <c r="R1" s="50">
        <v>1965</v>
      </c>
      <c r="S1" s="50">
        <v>1966</v>
      </c>
      <c r="T1" s="50">
        <v>1967</v>
      </c>
      <c r="U1" s="50">
        <v>1968</v>
      </c>
      <c r="V1" s="50">
        <v>1969</v>
      </c>
      <c r="W1" s="50">
        <v>1970</v>
      </c>
      <c r="X1" s="50">
        <v>1971</v>
      </c>
      <c r="Y1" s="50">
        <v>1972</v>
      </c>
      <c r="Z1" s="50">
        <v>1973</v>
      </c>
      <c r="AA1" s="50">
        <v>1974</v>
      </c>
      <c r="AB1" s="50">
        <v>1975</v>
      </c>
      <c r="AC1" s="50">
        <v>1976</v>
      </c>
      <c r="AD1" s="50">
        <v>1977</v>
      </c>
      <c r="AE1" s="50">
        <v>1978</v>
      </c>
      <c r="AF1" s="50">
        <v>1979</v>
      </c>
      <c r="AG1" s="50">
        <v>1980</v>
      </c>
      <c r="AH1" s="50">
        <v>1981</v>
      </c>
      <c r="AI1" s="50">
        <v>1982</v>
      </c>
      <c r="AJ1" s="50">
        <v>1983</v>
      </c>
      <c r="AK1" s="50">
        <v>1984</v>
      </c>
      <c r="AL1" s="50">
        <v>1985</v>
      </c>
      <c r="AM1" s="50">
        <v>1986</v>
      </c>
      <c r="AN1" s="50">
        <v>1987</v>
      </c>
      <c r="AO1" s="50">
        <v>1988</v>
      </c>
      <c r="AP1" s="50">
        <v>1989</v>
      </c>
      <c r="AQ1" s="50">
        <v>1990</v>
      </c>
      <c r="AR1" s="50">
        <v>1991</v>
      </c>
      <c r="AS1" s="50">
        <v>1992</v>
      </c>
      <c r="AT1" s="50">
        <v>1993</v>
      </c>
      <c r="AU1" s="50">
        <v>1994</v>
      </c>
      <c r="AV1" s="50">
        <v>1995</v>
      </c>
      <c r="AW1" s="50">
        <v>1996</v>
      </c>
      <c r="AX1" s="50">
        <v>1997</v>
      </c>
      <c r="AY1" s="50">
        <v>1998</v>
      </c>
      <c r="AZ1" s="50">
        <v>1999</v>
      </c>
      <c r="BA1" s="50">
        <v>2000</v>
      </c>
      <c r="BB1" s="50">
        <v>2001</v>
      </c>
      <c r="BC1" s="50">
        <v>2002</v>
      </c>
      <c r="BD1" s="50">
        <v>2003</v>
      </c>
      <c r="BE1" s="50">
        <v>2004</v>
      </c>
      <c r="BF1" s="50">
        <v>2005</v>
      </c>
      <c r="BG1" s="50">
        <v>2006</v>
      </c>
      <c r="BH1" s="50">
        <v>2007</v>
      </c>
      <c r="BI1" s="50">
        <v>2008</v>
      </c>
      <c r="BJ1" s="50">
        <v>2009</v>
      </c>
      <c r="BK1" s="50">
        <v>2010</v>
      </c>
      <c r="BL1" s="50">
        <v>2011</v>
      </c>
      <c r="BM1" s="50">
        <v>2012</v>
      </c>
      <c r="BN1" s="50">
        <v>2013</v>
      </c>
      <c r="BO1" s="50">
        <v>2014</v>
      </c>
      <c r="BP1" s="50">
        <v>2015</v>
      </c>
      <c r="BQ1" s="50">
        <v>2016</v>
      </c>
      <c r="BR1" s="50">
        <v>2017</v>
      </c>
      <c r="BS1" s="50">
        <v>2018</v>
      </c>
      <c r="BT1" s="50">
        <v>2019</v>
      </c>
      <c r="BU1" s="50">
        <v>2020</v>
      </c>
      <c r="BV1" s="50">
        <v>2021</v>
      </c>
    </row>
    <row r="2" spans="1:74" ht="8.9" customHeight="1">
      <c r="A2" s="32" t="s">
        <v>1</v>
      </c>
      <c r="B2" s="33">
        <v>464959</v>
      </c>
      <c r="C2" s="33">
        <v>522435</v>
      </c>
      <c r="D2" s="33">
        <v>575658</v>
      </c>
      <c r="E2" s="33">
        <v>632908</v>
      </c>
      <c r="F2" s="33">
        <v>669398</v>
      </c>
      <c r="G2" s="33">
        <v>701738</v>
      </c>
      <c r="H2" s="33">
        <v>759948</v>
      </c>
      <c r="I2" s="33">
        <v>817714</v>
      </c>
      <c r="J2" s="33">
        <v>842180</v>
      </c>
      <c r="K2" s="33">
        <v>884860</v>
      </c>
      <c r="L2" s="33">
        <v>929434</v>
      </c>
      <c r="M2" s="33">
        <v>969016</v>
      </c>
      <c r="N2" s="33">
        <v>995540</v>
      </c>
      <c r="O2" s="33">
        <v>1034428</v>
      </c>
      <c r="P2" s="33">
        <v>1072598</v>
      </c>
      <c r="Q2" s="33">
        <v>1125842</v>
      </c>
      <c r="R2" s="33">
        <v>1175454</v>
      </c>
      <c r="S2" s="33">
        <v>1246736</v>
      </c>
      <c r="T2" s="33">
        <v>1296855</v>
      </c>
      <c r="U2" s="33">
        <v>1366642</v>
      </c>
      <c r="V2" s="33">
        <v>1436548</v>
      </c>
      <c r="W2" s="33">
        <v>1527691</v>
      </c>
      <c r="X2" s="33">
        <v>1627315</v>
      </c>
      <c r="Y2" s="33">
        <v>1735271</v>
      </c>
      <c r="Z2" s="33">
        <v>1828089</v>
      </c>
      <c r="AA2" s="33">
        <v>1806873</v>
      </c>
      <c r="AB2" s="33">
        <v>1861917</v>
      </c>
      <c r="AC2" s="33">
        <v>1973892</v>
      </c>
      <c r="AD2" s="33">
        <v>2045824</v>
      </c>
      <c r="AE2" s="33">
        <v>2122221</v>
      </c>
      <c r="AF2" s="33">
        <v>2035364</v>
      </c>
      <c r="AG2" s="33">
        <v>1884476</v>
      </c>
      <c r="AH2" s="33">
        <v>1800105</v>
      </c>
      <c r="AI2" s="33">
        <v>1789845</v>
      </c>
      <c r="AJ2" s="33">
        <v>1813442</v>
      </c>
      <c r="AK2" s="33">
        <v>1834786</v>
      </c>
      <c r="AL2" s="33">
        <v>1808899</v>
      </c>
      <c r="AM2" s="33">
        <v>1940127</v>
      </c>
      <c r="AN2" s="33">
        <v>2011028</v>
      </c>
      <c r="AO2" s="33">
        <v>2010794</v>
      </c>
      <c r="AP2" s="33">
        <v>2057276</v>
      </c>
      <c r="AQ2" s="33">
        <v>2053319</v>
      </c>
      <c r="AR2" s="36">
        <v>2050458</v>
      </c>
      <c r="AS2" s="37">
        <v>2125176</v>
      </c>
      <c r="AT2" s="37">
        <v>2165688</v>
      </c>
      <c r="AU2" s="38">
        <v>2220444</v>
      </c>
      <c r="AV2" s="38">
        <v>2283380</v>
      </c>
      <c r="AW2" s="19">
        <v>2274640</v>
      </c>
      <c r="AX2" s="19">
        <v>2303025</v>
      </c>
      <c r="AY2" s="38">
        <v>2383298</v>
      </c>
      <c r="AZ2" s="19">
        <v>2414076</v>
      </c>
      <c r="BA2" s="38">
        <v>2378770.4530000002</v>
      </c>
      <c r="BB2" s="38">
        <v>2382507</v>
      </c>
      <c r="BC2" s="38">
        <v>2541401</v>
      </c>
      <c r="BD2" s="38">
        <v>2446942</v>
      </c>
      <c r="BE2" s="39">
        <v>2545769</v>
      </c>
      <c r="BF2" s="39">
        <v>2545997</v>
      </c>
      <c r="BG2" s="39">
        <v>2537990</v>
      </c>
      <c r="BH2" s="39">
        <v>2573326</v>
      </c>
      <c r="BI2" s="40">
        <v>2510679</v>
      </c>
      <c r="BJ2" s="39">
        <v>2533308</v>
      </c>
      <c r="BK2" s="38">
        <v>2595316</v>
      </c>
      <c r="BL2" s="41">
        <v>2538696</v>
      </c>
      <c r="BM2" s="41">
        <v>2521069</v>
      </c>
      <c r="BN2" s="41">
        <v>2519753</v>
      </c>
      <c r="BO2" s="41">
        <v>2576928</v>
      </c>
      <c r="BP2" s="41">
        <v>2504176</v>
      </c>
      <c r="BQ2" s="41">
        <v>2580392</v>
      </c>
      <c r="BR2" s="41">
        <v>2550741</v>
      </c>
      <c r="BS2" s="52">
        <v>2540902</v>
      </c>
      <c r="BT2" s="52">
        <v>2659652</v>
      </c>
      <c r="BU2" s="52">
        <v>2702225</v>
      </c>
      <c r="BV2" s="52">
        <v>3072895</v>
      </c>
    </row>
    <row r="3" spans="1:74" ht="8.9" customHeight="1">
      <c r="A3" s="14" t="s">
        <v>2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47443</v>
      </c>
      <c r="M3" s="15">
        <v>46811</v>
      </c>
      <c r="N3" s="15">
        <v>51530</v>
      </c>
      <c r="O3" s="15">
        <v>54135</v>
      </c>
      <c r="P3" s="15">
        <v>57768</v>
      </c>
      <c r="Q3" s="15">
        <v>61518</v>
      </c>
      <c r="R3" s="15">
        <v>71052</v>
      </c>
      <c r="S3" s="15">
        <v>67231</v>
      </c>
      <c r="T3" s="15">
        <v>70396</v>
      </c>
      <c r="U3" s="15">
        <v>66827</v>
      </c>
      <c r="V3" s="15">
        <v>79991</v>
      </c>
      <c r="W3" s="15">
        <v>88864</v>
      </c>
      <c r="X3" s="15">
        <v>102242</v>
      </c>
      <c r="Y3" s="15">
        <v>98041</v>
      </c>
      <c r="Z3" s="15">
        <v>107689</v>
      </c>
      <c r="AA3" s="15">
        <v>120035</v>
      </c>
      <c r="AB3" s="15">
        <v>148291</v>
      </c>
      <c r="AC3" s="15">
        <v>175084</v>
      </c>
      <c r="AD3" s="15">
        <v>173298</v>
      </c>
      <c r="AE3" s="15">
        <v>165465</v>
      </c>
      <c r="AF3" s="15">
        <v>174074</v>
      </c>
      <c r="AG3" s="15">
        <v>135236</v>
      </c>
      <c r="AH3" s="15">
        <v>172219</v>
      </c>
      <c r="AI3" s="15">
        <v>192852</v>
      </c>
      <c r="AJ3" s="15">
        <v>182043</v>
      </c>
      <c r="AK3" s="15">
        <v>215914</v>
      </c>
      <c r="AL3" s="15">
        <v>211382</v>
      </c>
      <c r="AM3" s="15">
        <v>198008</v>
      </c>
      <c r="AN3" s="15">
        <v>191421</v>
      </c>
      <c r="AO3" s="15">
        <v>209827</v>
      </c>
      <c r="AP3" s="15">
        <v>202140</v>
      </c>
      <c r="AQ3" s="15">
        <v>236151</v>
      </c>
      <c r="AR3" s="16">
        <v>201902</v>
      </c>
      <c r="AS3" s="17">
        <v>235343</v>
      </c>
      <c r="AT3" s="17">
        <v>242127</v>
      </c>
      <c r="AU3" s="18">
        <v>273319</v>
      </c>
      <c r="AV3" s="18">
        <v>294662</v>
      </c>
      <c r="AW3" s="20">
        <v>267994</v>
      </c>
      <c r="AX3" s="20">
        <v>259191</v>
      </c>
      <c r="AY3" s="18">
        <v>276828</v>
      </c>
      <c r="AZ3" s="20">
        <v>267005</v>
      </c>
      <c r="BA3" s="18">
        <v>247394.85399999999</v>
      </c>
      <c r="BB3" s="18">
        <v>235400</v>
      </c>
      <c r="BC3" s="18">
        <v>237008</v>
      </c>
      <c r="BD3" s="18">
        <v>241205</v>
      </c>
      <c r="BE3" s="21">
        <v>279712</v>
      </c>
      <c r="BF3" s="21">
        <v>267821</v>
      </c>
      <c r="BG3" s="21">
        <v>262992</v>
      </c>
      <c r="BH3" s="21">
        <v>267442</v>
      </c>
      <c r="BI3" s="22">
        <v>261376</v>
      </c>
      <c r="BJ3" s="21">
        <v>265790</v>
      </c>
      <c r="BK3" s="18">
        <v>265549</v>
      </c>
      <c r="BL3" s="23">
        <v>259821</v>
      </c>
      <c r="BM3" s="23">
        <v>267783</v>
      </c>
      <c r="BN3" s="23">
        <v>251692</v>
      </c>
      <c r="BO3" s="23">
        <v>274074</v>
      </c>
      <c r="BP3" s="23">
        <v>243380</v>
      </c>
      <c r="BQ3" s="23">
        <v>253416</v>
      </c>
      <c r="BR3" s="23">
        <v>247425</v>
      </c>
      <c r="BS3" s="53">
        <v>244389</v>
      </c>
      <c r="BT3" s="53">
        <v>242562</v>
      </c>
      <c r="BU3" s="53">
        <v>211646</v>
      </c>
      <c r="BV3" s="53">
        <v>233350</v>
      </c>
    </row>
    <row r="4" spans="1:74" ht="8.9" customHeight="1">
      <c r="A4" s="14" t="s">
        <v>3</v>
      </c>
      <c r="B4" s="15">
        <v>187266</v>
      </c>
      <c r="C4" s="15">
        <v>209747</v>
      </c>
      <c r="D4" s="15">
        <v>236282</v>
      </c>
      <c r="E4" s="15">
        <v>270431</v>
      </c>
      <c r="F4" s="15">
        <v>287090</v>
      </c>
      <c r="G4" s="15">
        <v>289041</v>
      </c>
      <c r="H4" s="15">
        <v>321573</v>
      </c>
      <c r="I4" s="15">
        <v>348685</v>
      </c>
      <c r="J4" s="15">
        <v>377009</v>
      </c>
      <c r="K4" s="15">
        <v>404638</v>
      </c>
      <c r="L4" s="15">
        <v>440080</v>
      </c>
      <c r="M4" s="15">
        <v>477258</v>
      </c>
      <c r="N4" s="15">
        <v>497422</v>
      </c>
      <c r="O4" s="15">
        <v>531357</v>
      </c>
      <c r="P4" s="15">
        <v>559879</v>
      </c>
      <c r="Q4" s="15">
        <v>588372</v>
      </c>
      <c r="R4" s="15">
        <v>606285</v>
      </c>
      <c r="S4" s="15">
        <v>634631</v>
      </c>
      <c r="T4" s="15">
        <v>651339</v>
      </c>
      <c r="U4" s="15">
        <v>716403</v>
      </c>
      <c r="V4" s="15">
        <v>818039</v>
      </c>
      <c r="W4" s="15">
        <v>879530</v>
      </c>
      <c r="X4" s="15">
        <v>945355</v>
      </c>
      <c r="Y4" s="15">
        <v>1058992</v>
      </c>
      <c r="Z4" s="15">
        <v>1152556</v>
      </c>
      <c r="AA4" s="15">
        <v>1077648</v>
      </c>
      <c r="AB4" s="15">
        <v>1128228</v>
      </c>
      <c r="AC4" s="15">
        <v>1189696</v>
      </c>
      <c r="AD4" s="15">
        <v>1267998</v>
      </c>
      <c r="AE4" s="15">
        <v>1345525</v>
      </c>
      <c r="AF4" s="15">
        <v>1351339</v>
      </c>
      <c r="AG4" s="15">
        <v>1292055</v>
      </c>
      <c r="AH4" s="15">
        <v>1283328</v>
      </c>
      <c r="AI4" s="15">
        <v>1300264</v>
      </c>
      <c r="AJ4" s="15">
        <v>1375867</v>
      </c>
      <c r="AK4" s="15">
        <v>1448887</v>
      </c>
      <c r="AL4" s="15">
        <v>1518510</v>
      </c>
      <c r="AM4" s="15">
        <v>1590459</v>
      </c>
      <c r="AN4" s="15">
        <v>1630561</v>
      </c>
      <c r="AO4" s="15">
        <v>1665460</v>
      </c>
      <c r="AP4" s="15">
        <v>1699692</v>
      </c>
      <c r="AQ4" s="15">
        <v>1637845</v>
      </c>
      <c r="AR4" s="16">
        <v>1678543</v>
      </c>
      <c r="AS4" s="17">
        <v>1744958</v>
      </c>
      <c r="AT4" s="17">
        <v>1799523</v>
      </c>
      <c r="AU4" s="18">
        <v>1899942</v>
      </c>
      <c r="AV4" s="18">
        <v>1958002</v>
      </c>
      <c r="AW4" s="20">
        <v>2062005</v>
      </c>
      <c r="AX4" s="20">
        <v>2038874</v>
      </c>
      <c r="AY4" s="18">
        <v>2196899</v>
      </c>
      <c r="AZ4" s="20">
        <v>2312106</v>
      </c>
      <c r="BA4" s="18">
        <v>2366395.8319999999</v>
      </c>
      <c r="BB4" s="18">
        <v>2428430</v>
      </c>
      <c r="BC4" s="18">
        <v>2540577</v>
      </c>
      <c r="BD4" s="18">
        <v>2574491</v>
      </c>
      <c r="BE4" s="21">
        <v>2691468</v>
      </c>
      <c r="BF4" s="21">
        <v>2757235</v>
      </c>
      <c r="BG4" s="21">
        <v>2793239</v>
      </c>
      <c r="BH4" s="21">
        <v>2818981</v>
      </c>
      <c r="BI4" s="22">
        <v>2650997</v>
      </c>
      <c r="BJ4" s="21">
        <v>2571902</v>
      </c>
      <c r="BK4" s="18">
        <v>2585987</v>
      </c>
      <c r="BL4" s="23">
        <v>2563505</v>
      </c>
      <c r="BM4" s="23">
        <v>2555274</v>
      </c>
      <c r="BN4" s="23">
        <v>2578433</v>
      </c>
      <c r="BO4" s="23">
        <v>2663653</v>
      </c>
      <c r="BP4" s="23">
        <v>2606360</v>
      </c>
      <c r="BQ4" s="23">
        <v>2716868</v>
      </c>
      <c r="BR4" s="23">
        <v>2732137</v>
      </c>
      <c r="BS4" s="53">
        <v>2783217</v>
      </c>
      <c r="BT4" s="53">
        <v>2831627</v>
      </c>
      <c r="BU4" s="53">
        <v>2511812</v>
      </c>
      <c r="BV4" s="53">
        <v>2788875</v>
      </c>
    </row>
    <row r="5" spans="1:74" ht="8.5" customHeight="1">
      <c r="A5" s="14" t="s">
        <v>4</v>
      </c>
      <c r="B5" s="24">
        <v>321704</v>
      </c>
      <c r="C5" s="15">
        <v>348899</v>
      </c>
      <c r="D5" s="15">
        <v>379263</v>
      </c>
      <c r="E5" s="15">
        <v>405515</v>
      </c>
      <c r="F5" s="15">
        <v>416544</v>
      </c>
      <c r="G5" s="15">
        <v>437240</v>
      </c>
      <c r="H5" s="15">
        <v>465036</v>
      </c>
      <c r="I5" s="15">
        <v>496737</v>
      </c>
      <c r="J5" s="15">
        <v>494126</v>
      </c>
      <c r="K5" s="15">
        <v>514367</v>
      </c>
      <c r="L5" s="15">
        <v>535351</v>
      </c>
      <c r="M5" s="15">
        <v>572125</v>
      </c>
      <c r="N5" s="15">
        <v>597390</v>
      </c>
      <c r="O5" s="15">
        <v>633323</v>
      </c>
      <c r="P5" s="15">
        <v>663986</v>
      </c>
      <c r="Q5" s="15">
        <v>697744</v>
      </c>
      <c r="R5" s="15">
        <v>727626</v>
      </c>
      <c r="S5" s="15">
        <v>756367</v>
      </c>
      <c r="T5" s="15">
        <v>775839</v>
      </c>
      <c r="U5" s="15">
        <v>834961</v>
      </c>
      <c r="V5" s="15">
        <v>885852</v>
      </c>
      <c r="W5" s="15">
        <v>922822</v>
      </c>
      <c r="X5" s="15">
        <v>988725</v>
      </c>
      <c r="Y5" s="15">
        <v>1079361</v>
      </c>
      <c r="Z5" s="15">
        <v>1129609</v>
      </c>
      <c r="AA5" s="15">
        <v>1110907</v>
      </c>
      <c r="AB5" s="15">
        <v>1142058</v>
      </c>
      <c r="AC5" s="15">
        <v>1214119</v>
      </c>
      <c r="AD5" s="15">
        <v>1248850</v>
      </c>
      <c r="AE5" s="15">
        <v>1289507</v>
      </c>
      <c r="AF5" s="15">
        <v>1058418</v>
      </c>
      <c r="AG5" s="15">
        <v>1127761</v>
      </c>
      <c r="AH5" s="15">
        <v>1103404</v>
      </c>
      <c r="AI5" s="15">
        <v>1082402</v>
      </c>
      <c r="AJ5" s="15">
        <v>1089061</v>
      </c>
      <c r="AK5" s="15">
        <v>1103456</v>
      </c>
      <c r="AL5" s="15">
        <v>1084243</v>
      </c>
      <c r="AM5" s="15">
        <v>1139702</v>
      </c>
      <c r="AN5" s="15">
        <v>1156660</v>
      </c>
      <c r="AO5" s="15">
        <v>1209911</v>
      </c>
      <c r="AP5" s="15">
        <v>1220757</v>
      </c>
      <c r="AQ5" s="15">
        <v>1203811</v>
      </c>
      <c r="AR5" s="16">
        <v>1192698</v>
      </c>
      <c r="AS5" s="17">
        <v>1228841</v>
      </c>
      <c r="AT5" s="17">
        <v>1268663</v>
      </c>
      <c r="AU5" s="18">
        <v>1286100</v>
      </c>
      <c r="AV5" s="18">
        <v>1318092</v>
      </c>
      <c r="AW5" s="20">
        <v>1322962</v>
      </c>
      <c r="AX5" s="20">
        <v>1368546</v>
      </c>
      <c r="AY5" s="18">
        <v>1364348</v>
      </c>
      <c r="AZ5" s="20">
        <v>1392948</v>
      </c>
      <c r="BA5" s="18">
        <v>1371641.25</v>
      </c>
      <c r="BB5" s="18">
        <v>1358174</v>
      </c>
      <c r="BC5" s="18">
        <v>1383458</v>
      </c>
      <c r="BD5" s="18">
        <v>1397579</v>
      </c>
      <c r="BE5" s="21">
        <v>1392455</v>
      </c>
      <c r="BF5" s="21">
        <v>1367278</v>
      </c>
      <c r="BG5" s="21">
        <v>1347736</v>
      </c>
      <c r="BH5" s="21">
        <v>1377803</v>
      </c>
      <c r="BI5" s="22">
        <v>1373783</v>
      </c>
      <c r="BJ5" s="21">
        <v>1405993</v>
      </c>
      <c r="BK5" s="18">
        <v>1408255</v>
      </c>
      <c r="BL5" s="23">
        <v>1372183</v>
      </c>
      <c r="BM5" s="23">
        <v>1366706</v>
      </c>
      <c r="BN5" s="23">
        <v>1342104</v>
      </c>
      <c r="BO5" s="23">
        <v>1420837</v>
      </c>
      <c r="BP5" s="23">
        <v>1320737</v>
      </c>
      <c r="BQ5" s="23">
        <v>1412534</v>
      </c>
      <c r="BR5" s="23">
        <v>1408054</v>
      </c>
      <c r="BS5" s="54">
        <v>1379415</v>
      </c>
      <c r="BT5" s="54">
        <v>1431471</v>
      </c>
      <c r="BU5" s="54">
        <v>1326814</v>
      </c>
      <c r="BV5" s="54">
        <v>1417358</v>
      </c>
    </row>
    <row r="6" spans="1:74" ht="9" customHeight="1">
      <c r="A6" s="32" t="s">
        <v>5</v>
      </c>
      <c r="B6" s="33">
        <v>2878314</v>
      </c>
      <c r="C6" s="33">
        <v>3085424</v>
      </c>
      <c r="D6" s="33">
        <v>3332050</v>
      </c>
      <c r="E6" s="33">
        <v>3583710</v>
      </c>
      <c r="F6" s="33">
        <v>3774965</v>
      </c>
      <c r="G6" s="33">
        <v>3846379</v>
      </c>
      <c r="H6" s="33">
        <v>4172306</v>
      </c>
      <c r="I6" s="33">
        <v>4511496</v>
      </c>
      <c r="J6" s="33">
        <v>4654595</v>
      </c>
      <c r="K6" s="33">
        <v>4804266</v>
      </c>
      <c r="L6" s="33">
        <v>5116018</v>
      </c>
      <c r="M6" s="33">
        <v>5372810</v>
      </c>
      <c r="N6" s="33">
        <v>5616172</v>
      </c>
      <c r="O6" s="33">
        <v>5839438</v>
      </c>
      <c r="P6" s="33">
        <v>6268590</v>
      </c>
      <c r="Q6" s="33">
        <v>6666357</v>
      </c>
      <c r="R6" s="33">
        <v>6949943</v>
      </c>
      <c r="S6" s="33">
        <v>7293963</v>
      </c>
      <c r="T6" s="33">
        <v>7552723</v>
      </c>
      <c r="U6" s="33">
        <v>8042178</v>
      </c>
      <c r="V6" s="33">
        <v>8480798</v>
      </c>
      <c r="W6" s="33">
        <v>8846685</v>
      </c>
      <c r="X6" s="33">
        <v>9157397</v>
      </c>
      <c r="Y6" s="33">
        <v>9790977</v>
      </c>
      <c r="Z6" s="33">
        <v>10102925</v>
      </c>
      <c r="AA6" s="33">
        <v>9662532</v>
      </c>
      <c r="AB6" s="33">
        <v>9985654</v>
      </c>
      <c r="AC6" s="33">
        <v>10494542</v>
      </c>
      <c r="AD6" s="33">
        <v>11076867</v>
      </c>
      <c r="AE6" s="33">
        <v>11616189</v>
      </c>
      <c r="AF6" s="33">
        <v>11433403</v>
      </c>
      <c r="AG6" s="33">
        <v>10745324</v>
      </c>
      <c r="AH6" s="33">
        <v>10580202</v>
      </c>
      <c r="AI6" s="33">
        <v>10400392</v>
      </c>
      <c r="AJ6" s="33">
        <v>10684667</v>
      </c>
      <c r="AK6" s="33">
        <v>11126075</v>
      </c>
      <c r="AL6" s="33">
        <v>11211337</v>
      </c>
      <c r="AM6" s="33">
        <v>11733752</v>
      </c>
      <c r="AN6" s="33">
        <v>12162124</v>
      </c>
      <c r="AO6" s="33">
        <v>12555731</v>
      </c>
      <c r="AP6" s="33">
        <v>12976069</v>
      </c>
      <c r="AQ6" s="33">
        <v>12808053</v>
      </c>
      <c r="AR6" s="36">
        <v>12397037</v>
      </c>
      <c r="AS6" s="37">
        <v>13281462</v>
      </c>
      <c r="AT6" s="37">
        <v>12962782</v>
      </c>
      <c r="AU6" s="38">
        <v>12932907</v>
      </c>
      <c r="AV6" s="38">
        <v>13012893</v>
      </c>
      <c r="AW6" s="19">
        <v>13291758</v>
      </c>
      <c r="AX6" s="19">
        <v>13492400</v>
      </c>
      <c r="AY6" s="38">
        <v>13755547</v>
      </c>
      <c r="AZ6" s="19">
        <v>14249177</v>
      </c>
      <c r="BA6" s="38">
        <v>14378254.189999999</v>
      </c>
      <c r="BB6" s="38">
        <v>14691753</v>
      </c>
      <c r="BC6" s="38">
        <v>15385840</v>
      </c>
      <c r="BD6" s="38">
        <v>15358354</v>
      </c>
      <c r="BE6" s="39">
        <v>15579476</v>
      </c>
      <c r="BF6" s="39">
        <v>15614464</v>
      </c>
      <c r="BG6" s="39">
        <v>15509940</v>
      </c>
      <c r="BH6" s="39">
        <v>15402164</v>
      </c>
      <c r="BI6" s="40">
        <v>14787997</v>
      </c>
      <c r="BJ6" s="39">
        <v>14575049</v>
      </c>
      <c r="BK6" s="38">
        <v>14555037</v>
      </c>
      <c r="BL6" s="41">
        <v>14276055</v>
      </c>
      <c r="BM6" s="41">
        <v>14221198</v>
      </c>
      <c r="BN6" s="41">
        <v>14201939</v>
      </c>
      <c r="BO6" s="41">
        <v>14660111</v>
      </c>
      <c r="BP6" s="41">
        <v>14188342</v>
      </c>
      <c r="BQ6" s="41">
        <v>14540213</v>
      </c>
      <c r="BR6" s="41">
        <v>14613569</v>
      </c>
      <c r="BS6" s="52">
        <v>14536101</v>
      </c>
      <c r="BT6" s="52">
        <v>14432583</v>
      </c>
      <c r="BU6" s="52">
        <v>11487227</v>
      </c>
      <c r="BV6" s="52">
        <v>12812146</v>
      </c>
    </row>
    <row r="7" spans="1:74" ht="8.5" customHeight="1">
      <c r="A7" s="14" t="s">
        <v>63</v>
      </c>
      <c r="B7" s="15">
        <v>327975</v>
      </c>
      <c r="C7" s="15">
        <v>354528</v>
      </c>
      <c r="D7" s="15">
        <v>391408</v>
      </c>
      <c r="E7" s="15">
        <v>420604</v>
      </c>
      <c r="F7" s="15">
        <v>435843</v>
      </c>
      <c r="G7" s="15">
        <v>458030</v>
      </c>
      <c r="H7" s="15">
        <v>482764</v>
      </c>
      <c r="I7" s="15">
        <v>510140</v>
      </c>
      <c r="J7" s="15">
        <v>535047</v>
      </c>
      <c r="K7" s="15">
        <v>549815</v>
      </c>
      <c r="L7" s="15">
        <v>588917</v>
      </c>
      <c r="M7" s="15">
        <v>609886</v>
      </c>
      <c r="N7" s="15">
        <v>639455</v>
      </c>
      <c r="O7" s="15">
        <v>665008</v>
      </c>
      <c r="P7" s="15">
        <v>695695</v>
      </c>
      <c r="Q7" s="15">
        <v>730392</v>
      </c>
      <c r="R7" s="15">
        <v>760708</v>
      </c>
      <c r="S7" s="15">
        <v>787267</v>
      </c>
      <c r="T7" s="15">
        <v>820873</v>
      </c>
      <c r="U7" s="15">
        <v>897542</v>
      </c>
      <c r="V7" s="15">
        <v>962563</v>
      </c>
      <c r="W7" s="15">
        <v>1049639</v>
      </c>
      <c r="X7" s="15">
        <v>1124158</v>
      </c>
      <c r="Y7" s="15">
        <v>1233942</v>
      </c>
      <c r="Z7" s="15">
        <v>1294033</v>
      </c>
      <c r="AA7" s="15">
        <v>1236551</v>
      </c>
      <c r="AB7" s="15">
        <v>1297997</v>
      </c>
      <c r="AC7" s="15">
        <v>1348630</v>
      </c>
      <c r="AD7" s="15">
        <v>1403614</v>
      </c>
      <c r="AE7" s="15">
        <v>1528834</v>
      </c>
      <c r="AF7" s="15">
        <v>1482632</v>
      </c>
      <c r="AG7" s="15">
        <v>1433965</v>
      </c>
      <c r="AH7" s="15">
        <v>1432558</v>
      </c>
      <c r="AI7" s="15">
        <v>1443232</v>
      </c>
      <c r="AJ7" s="15">
        <v>1388048</v>
      </c>
      <c r="AK7" s="15">
        <v>1393466</v>
      </c>
      <c r="AL7" s="15">
        <v>1499775</v>
      </c>
      <c r="AM7" s="15">
        <v>1533321</v>
      </c>
      <c r="AN7" s="15">
        <v>1507967</v>
      </c>
      <c r="AO7" s="15">
        <v>1506623</v>
      </c>
      <c r="AP7" s="15">
        <v>1478994</v>
      </c>
      <c r="AQ7" s="15">
        <v>1490475</v>
      </c>
      <c r="AR7" s="16">
        <v>1478385</v>
      </c>
      <c r="AS7" s="17">
        <v>1507258</v>
      </c>
      <c r="AT7" s="17">
        <v>1587223</v>
      </c>
      <c r="AU7" s="18">
        <v>1648166</v>
      </c>
      <c r="AV7" s="18">
        <v>1712801</v>
      </c>
      <c r="AW7" s="20">
        <v>1779655</v>
      </c>
      <c r="AX7" s="20">
        <v>1817808</v>
      </c>
      <c r="AY7" s="18">
        <v>1865569</v>
      </c>
      <c r="AZ7" s="20">
        <v>1971403</v>
      </c>
      <c r="BA7" s="18">
        <v>1977730.2230000005</v>
      </c>
      <c r="BB7" s="18">
        <v>2048664</v>
      </c>
      <c r="BC7" s="18">
        <v>2023069</v>
      </c>
      <c r="BD7" s="18">
        <v>2011767</v>
      </c>
      <c r="BE7" s="21">
        <v>2080962</v>
      </c>
      <c r="BF7" s="21">
        <v>2076744</v>
      </c>
      <c r="BG7" s="21">
        <v>2066183</v>
      </c>
      <c r="BH7" s="21">
        <v>2092476</v>
      </c>
      <c r="BI7" s="22">
        <v>2062000</v>
      </c>
      <c r="BJ7" s="21">
        <v>2060032</v>
      </c>
      <c r="BK7" s="18">
        <v>2093404</v>
      </c>
      <c r="BL7" s="23">
        <v>2079287</v>
      </c>
      <c r="BM7" s="23">
        <v>2065165</v>
      </c>
      <c r="BN7" s="23">
        <v>2095760</v>
      </c>
      <c r="BO7" s="23">
        <v>2213924</v>
      </c>
      <c r="BP7" s="23">
        <v>2107254</v>
      </c>
      <c r="BQ7" s="23">
        <v>2217141</v>
      </c>
      <c r="BR7" s="23">
        <v>2196347</v>
      </c>
      <c r="BS7" s="53">
        <v>2210977</v>
      </c>
      <c r="BT7" s="53">
        <v>2270649</v>
      </c>
      <c r="BU7" s="53">
        <v>1921601</v>
      </c>
      <c r="BV7" s="53">
        <v>2156344</v>
      </c>
    </row>
    <row r="8" spans="1:74" ht="8.5" customHeight="1">
      <c r="A8" s="14" t="s">
        <v>6</v>
      </c>
      <c r="B8" s="15">
        <v>447195</v>
      </c>
      <c r="C8" s="15">
        <v>483019</v>
      </c>
      <c r="D8" s="15">
        <v>516668</v>
      </c>
      <c r="E8" s="15">
        <v>549352</v>
      </c>
      <c r="F8" s="15">
        <v>587601</v>
      </c>
      <c r="G8" s="15">
        <v>616554</v>
      </c>
      <c r="H8" s="15">
        <v>655619</v>
      </c>
      <c r="I8" s="15">
        <v>674805</v>
      </c>
      <c r="J8" s="15">
        <v>704359</v>
      </c>
      <c r="K8" s="15">
        <v>720071</v>
      </c>
      <c r="L8" s="15">
        <v>750064</v>
      </c>
      <c r="M8" s="15">
        <v>772486</v>
      </c>
      <c r="N8" s="15">
        <v>788870</v>
      </c>
      <c r="O8" s="15">
        <v>821828</v>
      </c>
      <c r="P8" s="15">
        <v>858671</v>
      </c>
      <c r="Q8" s="15">
        <v>910115</v>
      </c>
      <c r="R8" s="15">
        <v>949550</v>
      </c>
      <c r="S8" s="15">
        <v>985904</v>
      </c>
      <c r="T8" s="15">
        <v>1015909</v>
      </c>
      <c r="U8" s="15">
        <v>1079977</v>
      </c>
      <c r="V8" s="15">
        <v>1132242</v>
      </c>
      <c r="W8" s="15">
        <v>1187124</v>
      </c>
      <c r="X8" s="15">
        <v>1237805</v>
      </c>
      <c r="Y8" s="15">
        <v>1298183</v>
      </c>
      <c r="Z8" s="15">
        <v>1329756</v>
      </c>
      <c r="AA8" s="15">
        <v>1295895</v>
      </c>
      <c r="AB8" s="15">
        <v>1320158</v>
      </c>
      <c r="AC8" s="15">
        <v>1359579</v>
      </c>
      <c r="AD8" s="15">
        <v>1381452</v>
      </c>
      <c r="AE8" s="15">
        <v>1393505</v>
      </c>
      <c r="AF8" s="15">
        <v>1340218</v>
      </c>
      <c r="AG8" s="15">
        <v>1282313</v>
      </c>
      <c r="AH8" s="15">
        <v>1265625</v>
      </c>
      <c r="AI8" s="15">
        <v>1249142</v>
      </c>
      <c r="AJ8" s="15">
        <v>1277382</v>
      </c>
      <c r="AK8" s="15">
        <v>1302491</v>
      </c>
      <c r="AL8" s="15">
        <v>1307119</v>
      </c>
      <c r="AM8" s="15">
        <v>1343492</v>
      </c>
      <c r="AN8" s="15">
        <v>1354517</v>
      </c>
      <c r="AO8" s="15">
        <v>1359107</v>
      </c>
      <c r="AP8" s="15">
        <v>1345656</v>
      </c>
      <c r="AQ8" s="15">
        <v>1301715</v>
      </c>
      <c r="AR8" s="16">
        <v>1302750</v>
      </c>
      <c r="AS8" s="17">
        <v>1311247</v>
      </c>
      <c r="AT8" s="17">
        <v>1321880</v>
      </c>
      <c r="AU8" s="18">
        <v>1328585</v>
      </c>
      <c r="AV8" s="18">
        <v>1257051</v>
      </c>
      <c r="AW8" s="20">
        <v>1326218</v>
      </c>
      <c r="AX8" s="20">
        <v>1330775</v>
      </c>
      <c r="AY8" s="18">
        <v>1373280</v>
      </c>
      <c r="AZ8" s="20">
        <v>1491660</v>
      </c>
      <c r="BA8" s="18">
        <v>1422963.7010000001</v>
      </c>
      <c r="BB8" s="18">
        <v>1458279</v>
      </c>
      <c r="BC8" s="18">
        <v>1519930</v>
      </c>
      <c r="BD8" s="18">
        <v>1610491</v>
      </c>
      <c r="BE8" s="21">
        <v>1796582</v>
      </c>
      <c r="BF8" s="21">
        <v>1566904</v>
      </c>
      <c r="BG8" s="21">
        <v>1516783</v>
      </c>
      <c r="BH8" s="21">
        <v>1526330</v>
      </c>
      <c r="BI8" s="22">
        <v>1462593</v>
      </c>
      <c r="BJ8" s="21">
        <v>1479193</v>
      </c>
      <c r="BK8" s="18">
        <v>1459754</v>
      </c>
      <c r="BL8" s="23">
        <v>1432206</v>
      </c>
      <c r="BM8" s="23">
        <v>1415334</v>
      </c>
      <c r="BN8" s="23">
        <v>1398670</v>
      </c>
      <c r="BO8" s="23">
        <v>1419108</v>
      </c>
      <c r="BP8" s="23">
        <v>1405870</v>
      </c>
      <c r="BQ8" s="23">
        <v>1441862</v>
      </c>
      <c r="BR8" s="23">
        <v>1434972</v>
      </c>
      <c r="BS8" s="53">
        <v>1442689</v>
      </c>
      <c r="BT8" s="53">
        <v>1437444</v>
      </c>
      <c r="BU8" s="53">
        <v>1192564</v>
      </c>
      <c r="BV8" s="53">
        <v>1310187</v>
      </c>
    </row>
    <row r="9" spans="1:74" ht="9" customHeight="1">
      <c r="A9" s="34" t="s">
        <v>7</v>
      </c>
      <c r="B9" s="35">
        <v>81885</v>
      </c>
      <c r="C9" s="35">
        <v>90568</v>
      </c>
      <c r="D9" s="35">
        <v>97987</v>
      </c>
      <c r="E9" s="35">
        <v>106416</v>
      </c>
      <c r="F9" s="35">
        <v>114302</v>
      </c>
      <c r="G9" s="35">
        <v>117326</v>
      </c>
      <c r="H9" s="35">
        <v>129238</v>
      </c>
      <c r="I9" s="35">
        <v>141561</v>
      </c>
      <c r="J9" s="35">
        <v>153753</v>
      </c>
      <c r="K9" s="35">
        <v>156147</v>
      </c>
      <c r="L9" s="35">
        <v>166436</v>
      </c>
      <c r="M9" s="35">
        <v>165908</v>
      </c>
      <c r="N9" s="35">
        <v>185325</v>
      </c>
      <c r="O9" s="35">
        <v>179207</v>
      </c>
      <c r="P9" s="35">
        <v>192361</v>
      </c>
      <c r="Q9" s="35">
        <v>197719</v>
      </c>
      <c r="R9" s="35">
        <v>206536</v>
      </c>
      <c r="S9" s="35">
        <v>215039</v>
      </c>
      <c r="T9" s="35">
        <v>220073</v>
      </c>
      <c r="U9" s="35">
        <v>232008</v>
      </c>
      <c r="V9" s="35">
        <v>246513</v>
      </c>
      <c r="W9" s="35">
        <v>258143</v>
      </c>
      <c r="X9" s="35">
        <v>272077</v>
      </c>
      <c r="Y9" s="35">
        <v>282796</v>
      </c>
      <c r="Z9" s="35">
        <v>300235</v>
      </c>
      <c r="AA9" s="35">
        <v>286745</v>
      </c>
      <c r="AB9" s="35">
        <v>292617</v>
      </c>
      <c r="AC9" s="35">
        <v>308245</v>
      </c>
      <c r="AD9" s="35">
        <v>306396</v>
      </c>
      <c r="AE9" s="35">
        <v>307779</v>
      </c>
      <c r="AF9" s="35">
        <v>298189</v>
      </c>
      <c r="AG9" s="35">
        <v>281819</v>
      </c>
      <c r="AH9" s="35">
        <v>288767</v>
      </c>
      <c r="AI9" s="35">
        <v>275895</v>
      </c>
      <c r="AJ9" s="35">
        <v>302688</v>
      </c>
      <c r="AK9" s="35">
        <v>309775</v>
      </c>
      <c r="AL9" s="35">
        <v>314191</v>
      </c>
      <c r="AM9" s="35">
        <v>320503</v>
      </c>
      <c r="AN9" s="35">
        <v>324265</v>
      </c>
      <c r="AO9" s="35">
        <v>334242</v>
      </c>
      <c r="AP9" s="35">
        <v>336356</v>
      </c>
      <c r="AQ9" s="35">
        <v>332478</v>
      </c>
      <c r="AR9" s="42">
        <v>319264</v>
      </c>
      <c r="AS9" s="43">
        <v>338513</v>
      </c>
      <c r="AT9" s="43">
        <v>344743</v>
      </c>
      <c r="AU9" s="44">
        <v>344799</v>
      </c>
      <c r="AV9" s="44">
        <v>346900</v>
      </c>
      <c r="AW9" s="45">
        <v>347820</v>
      </c>
      <c r="AX9" s="45">
        <v>353687</v>
      </c>
      <c r="AY9" s="44">
        <v>373510</v>
      </c>
      <c r="AZ9" s="45">
        <v>383444</v>
      </c>
      <c r="BA9" s="44">
        <v>371093.38099999999</v>
      </c>
      <c r="BB9" s="44">
        <v>382043</v>
      </c>
      <c r="BC9" s="44">
        <v>409225</v>
      </c>
      <c r="BD9" s="44">
        <v>408311</v>
      </c>
      <c r="BE9" s="46">
        <v>412075</v>
      </c>
      <c r="BF9" s="46">
        <v>426638</v>
      </c>
      <c r="BG9" s="46">
        <v>433203</v>
      </c>
      <c r="BH9" s="46">
        <v>434051</v>
      </c>
      <c r="BI9" s="47">
        <v>419204</v>
      </c>
      <c r="BJ9" s="46">
        <v>420681</v>
      </c>
      <c r="BK9" s="44">
        <v>425326</v>
      </c>
      <c r="BL9" s="48">
        <v>409634</v>
      </c>
      <c r="BM9" s="48">
        <v>405959</v>
      </c>
      <c r="BN9" s="48">
        <v>408344</v>
      </c>
      <c r="BO9" s="48">
        <v>417947</v>
      </c>
      <c r="BP9" s="48">
        <v>434287</v>
      </c>
      <c r="BQ9" s="48">
        <v>523442</v>
      </c>
      <c r="BR9" s="48">
        <v>466810</v>
      </c>
      <c r="BS9" s="54">
        <v>485874</v>
      </c>
      <c r="BT9" s="54">
        <v>522552</v>
      </c>
      <c r="BU9" s="54">
        <v>429937</v>
      </c>
      <c r="BV9" s="54">
        <v>463301</v>
      </c>
    </row>
    <row r="10" spans="1:74" ht="8.25" customHeight="1">
      <c r="A10" s="14" t="s">
        <v>8</v>
      </c>
      <c r="B10" s="15">
        <v>179603</v>
      </c>
      <c r="C10" s="15">
        <v>192775</v>
      </c>
      <c r="D10" s="15">
        <v>200045</v>
      </c>
      <c r="E10" s="15">
        <v>201173</v>
      </c>
      <c r="F10" s="15">
        <v>196993</v>
      </c>
      <c r="G10" s="15">
        <v>193229</v>
      </c>
      <c r="H10" s="15">
        <v>199163</v>
      </c>
      <c r="I10" s="15">
        <v>194771</v>
      </c>
      <c r="J10" s="15">
        <v>187978</v>
      </c>
      <c r="K10" s="15">
        <v>187928</v>
      </c>
      <c r="L10" s="15">
        <v>199188</v>
      </c>
      <c r="M10" s="15">
        <v>197795</v>
      </c>
      <c r="N10" s="15">
        <v>199244</v>
      </c>
      <c r="O10" s="15">
        <v>201076</v>
      </c>
      <c r="P10" s="15">
        <v>203957</v>
      </c>
      <c r="Q10" s="15">
        <v>217859</v>
      </c>
      <c r="R10" s="15">
        <v>226605</v>
      </c>
      <c r="S10" s="15">
        <v>230216</v>
      </c>
      <c r="T10" s="15">
        <v>228391</v>
      </c>
      <c r="U10" s="15">
        <v>232048</v>
      </c>
      <c r="V10" s="15">
        <v>235783</v>
      </c>
      <c r="W10" s="15">
        <v>236868</v>
      </c>
      <c r="X10" s="15">
        <v>237665</v>
      </c>
      <c r="Y10" s="15">
        <v>237022</v>
      </c>
      <c r="Z10" s="15">
        <v>251278</v>
      </c>
      <c r="AA10" s="15">
        <v>233966</v>
      </c>
      <c r="AB10" s="15">
        <v>237688</v>
      </c>
      <c r="AC10" s="15">
        <v>228647</v>
      </c>
      <c r="AD10" s="15">
        <v>217881</v>
      </c>
      <c r="AE10" s="15">
        <v>214732</v>
      </c>
      <c r="AF10" s="15">
        <v>192900</v>
      </c>
      <c r="AG10" s="15">
        <v>165943</v>
      </c>
      <c r="AH10" s="15">
        <v>167438</v>
      </c>
      <c r="AI10" s="15">
        <v>167651</v>
      </c>
      <c r="AJ10" s="15">
        <v>166943</v>
      </c>
      <c r="AK10" s="15">
        <v>173175</v>
      </c>
      <c r="AL10" s="15">
        <v>159065</v>
      </c>
      <c r="AM10" s="15">
        <v>161423</v>
      </c>
      <c r="AN10" s="15">
        <v>176093</v>
      </c>
      <c r="AO10" s="15">
        <v>180276</v>
      </c>
      <c r="AP10" s="15">
        <v>174476</v>
      </c>
      <c r="AQ10" s="15">
        <v>165513</v>
      </c>
      <c r="AR10" s="16">
        <v>165983</v>
      </c>
      <c r="AS10" s="17">
        <v>168246</v>
      </c>
      <c r="AT10" s="17">
        <v>174992</v>
      </c>
      <c r="AU10" s="18">
        <v>168682</v>
      </c>
      <c r="AV10" s="18">
        <v>167701</v>
      </c>
      <c r="AW10" s="20">
        <v>160948</v>
      </c>
      <c r="AX10" s="20">
        <v>167144</v>
      </c>
      <c r="AY10" s="18">
        <v>161570</v>
      </c>
      <c r="AZ10" s="20">
        <v>167820</v>
      </c>
      <c r="BA10" s="18">
        <v>169225.03400000001</v>
      </c>
      <c r="BB10" s="18">
        <v>148769</v>
      </c>
      <c r="BC10" s="18">
        <v>140542</v>
      </c>
      <c r="BD10" s="18">
        <v>131472</v>
      </c>
      <c r="BE10" s="21">
        <v>138427</v>
      </c>
      <c r="BF10" s="21">
        <v>125313</v>
      </c>
      <c r="BG10" s="21">
        <v>123904</v>
      </c>
      <c r="BH10" s="21">
        <v>122186</v>
      </c>
      <c r="BI10" s="22">
        <v>100568</v>
      </c>
      <c r="BJ10" s="21">
        <v>107113</v>
      </c>
      <c r="BK10" s="18">
        <v>103082</v>
      </c>
      <c r="BL10" s="23">
        <v>105076</v>
      </c>
      <c r="BM10" s="23">
        <v>94414</v>
      </c>
      <c r="BN10" s="23">
        <v>94670</v>
      </c>
      <c r="BO10" s="23">
        <v>107715</v>
      </c>
      <c r="BP10" s="23">
        <v>106690</v>
      </c>
      <c r="BQ10" s="23">
        <v>114843</v>
      </c>
      <c r="BR10" s="23">
        <v>99509</v>
      </c>
      <c r="BS10" s="55">
        <f>BP10+BR10</f>
        <v>206199</v>
      </c>
      <c r="BT10" s="55">
        <v>113256</v>
      </c>
      <c r="BU10" s="55">
        <v>93883</v>
      </c>
      <c r="BV10" s="55">
        <v>99660</v>
      </c>
    </row>
    <row r="11" spans="1:74" ht="9.25" customHeight="1">
      <c r="A11" s="14" t="s">
        <v>9</v>
      </c>
      <c r="B11" s="15">
        <v>630210</v>
      </c>
      <c r="C11" s="15">
        <v>713193</v>
      </c>
      <c r="D11" s="15">
        <v>785484</v>
      </c>
      <c r="E11" s="15">
        <v>899741</v>
      </c>
      <c r="F11" s="15">
        <v>978915</v>
      </c>
      <c r="G11" s="15">
        <v>1052672</v>
      </c>
      <c r="H11" s="15">
        <v>1174151</v>
      </c>
      <c r="I11" s="15">
        <v>1307819</v>
      </c>
      <c r="J11" s="15">
        <v>1425607</v>
      </c>
      <c r="K11" s="15">
        <v>1490213</v>
      </c>
      <c r="L11" s="15">
        <v>1596853</v>
      </c>
      <c r="M11" s="15">
        <v>1715648</v>
      </c>
      <c r="N11" s="15">
        <v>1746159</v>
      </c>
      <c r="O11" s="15">
        <v>1856181</v>
      </c>
      <c r="P11" s="15">
        <v>1950200</v>
      </c>
      <c r="Q11" s="15">
        <v>2077891</v>
      </c>
      <c r="R11" s="15">
        <v>2195099</v>
      </c>
      <c r="S11" s="15">
        <v>2317716</v>
      </c>
      <c r="T11" s="15">
        <v>2436299</v>
      </c>
      <c r="U11" s="15">
        <v>2659855</v>
      </c>
      <c r="V11" s="15">
        <v>2899615</v>
      </c>
      <c r="W11" s="15">
        <v>3129151</v>
      </c>
      <c r="X11" s="15">
        <v>3363503</v>
      </c>
      <c r="Y11" s="15">
        <v>3778532</v>
      </c>
      <c r="Z11" s="15">
        <v>4170530</v>
      </c>
      <c r="AA11" s="15">
        <v>4028165</v>
      </c>
      <c r="AB11" s="15">
        <v>4154294</v>
      </c>
      <c r="AC11" s="15">
        <v>4321000</v>
      </c>
      <c r="AD11" s="15">
        <v>4484746</v>
      </c>
      <c r="AE11" s="15">
        <v>4738242</v>
      </c>
      <c r="AF11" s="15">
        <v>4714622</v>
      </c>
      <c r="AG11" s="15">
        <v>4617752</v>
      </c>
      <c r="AH11" s="15">
        <v>4681624</v>
      </c>
      <c r="AI11" s="15">
        <v>4740741</v>
      </c>
      <c r="AJ11" s="15">
        <v>4908558</v>
      </c>
      <c r="AK11" s="15">
        <v>5052157</v>
      </c>
      <c r="AL11" s="15">
        <v>5167383</v>
      </c>
      <c r="AM11" s="15">
        <v>5408907</v>
      </c>
      <c r="AN11" s="15">
        <v>5632701</v>
      </c>
      <c r="AO11" s="15">
        <v>5748436</v>
      </c>
      <c r="AP11" s="15">
        <v>5820715</v>
      </c>
      <c r="AQ11" s="15">
        <v>5830693</v>
      </c>
      <c r="AR11" s="16">
        <v>5741435</v>
      </c>
      <c r="AS11" s="17">
        <v>5925701</v>
      </c>
      <c r="AT11" s="17">
        <v>6255156</v>
      </c>
      <c r="AU11" s="18">
        <v>6345491</v>
      </c>
      <c r="AV11" s="18">
        <v>6470446</v>
      </c>
      <c r="AW11" s="20">
        <v>6560084</v>
      </c>
      <c r="AX11" s="20">
        <v>6677385</v>
      </c>
      <c r="AY11" s="18">
        <v>6946216</v>
      </c>
      <c r="AZ11" s="20">
        <v>7211565</v>
      </c>
      <c r="BA11" s="18">
        <v>7368472.4570000004</v>
      </c>
      <c r="BB11" s="18">
        <v>7471117</v>
      </c>
      <c r="BC11" s="18">
        <v>7720436</v>
      </c>
      <c r="BD11" s="18">
        <v>7893121</v>
      </c>
      <c r="BE11" s="21">
        <v>8255164</v>
      </c>
      <c r="BF11" s="21">
        <v>8365589</v>
      </c>
      <c r="BG11" s="21">
        <v>8368522</v>
      </c>
      <c r="BH11" s="21">
        <v>8250698</v>
      </c>
      <c r="BI11" s="22">
        <v>7903075</v>
      </c>
      <c r="BJ11" s="21">
        <v>7965595</v>
      </c>
      <c r="BK11" s="18">
        <v>7893177</v>
      </c>
      <c r="BL11" s="23">
        <v>7834706</v>
      </c>
      <c r="BM11" s="23">
        <v>7886365</v>
      </c>
      <c r="BN11" s="23">
        <v>7954688</v>
      </c>
      <c r="BO11" s="23">
        <v>8248186</v>
      </c>
      <c r="BP11" s="23">
        <v>8037700</v>
      </c>
      <c r="BQ11" s="23">
        <v>8206142</v>
      </c>
      <c r="BR11" s="23">
        <v>8392520</v>
      </c>
      <c r="BS11" s="53">
        <v>8539389</v>
      </c>
      <c r="BT11" s="53">
        <v>8586669</v>
      </c>
      <c r="BU11" s="53">
        <v>7473496</v>
      </c>
      <c r="BV11" s="53">
        <v>8252295</v>
      </c>
    </row>
    <row r="12" spans="1:74" ht="9.75" customHeight="1">
      <c r="A12" s="14" t="s">
        <v>10</v>
      </c>
      <c r="B12" s="15">
        <v>621642</v>
      </c>
      <c r="C12" s="15">
        <v>697708</v>
      </c>
      <c r="D12" s="15">
        <v>766003</v>
      </c>
      <c r="E12" s="15">
        <v>861462</v>
      </c>
      <c r="F12" s="15">
        <v>897180</v>
      </c>
      <c r="G12" s="15">
        <v>940029</v>
      </c>
      <c r="H12" s="15">
        <v>1030178</v>
      </c>
      <c r="I12" s="15">
        <v>1093197</v>
      </c>
      <c r="J12" s="15">
        <v>1121026</v>
      </c>
      <c r="K12" s="15">
        <v>1168736</v>
      </c>
      <c r="L12" s="15">
        <v>1227261</v>
      </c>
      <c r="M12" s="15">
        <v>1253241</v>
      </c>
      <c r="N12" s="15">
        <v>1279849</v>
      </c>
      <c r="O12" s="15">
        <v>1352578</v>
      </c>
      <c r="P12" s="15">
        <v>1420694</v>
      </c>
      <c r="Q12" s="15">
        <v>1519756</v>
      </c>
      <c r="R12" s="15">
        <v>1606336</v>
      </c>
      <c r="S12" s="15">
        <v>1699566</v>
      </c>
      <c r="T12" s="15">
        <v>1789617</v>
      </c>
      <c r="U12" s="15">
        <v>1956085</v>
      </c>
      <c r="V12" s="15">
        <v>2122272</v>
      </c>
      <c r="W12" s="15">
        <v>2248815</v>
      </c>
      <c r="X12" s="15">
        <v>2425221</v>
      </c>
      <c r="Y12" s="15">
        <v>2630641</v>
      </c>
      <c r="Z12" s="15">
        <v>2781136</v>
      </c>
      <c r="AA12" s="15">
        <v>2680824</v>
      </c>
      <c r="AB12" s="15">
        <v>2722133</v>
      </c>
      <c r="AC12" s="15">
        <v>2859916</v>
      </c>
      <c r="AD12" s="15">
        <v>2941179</v>
      </c>
      <c r="AE12" s="15">
        <v>3053700</v>
      </c>
      <c r="AF12" s="15">
        <v>2969992</v>
      </c>
      <c r="AG12" s="15">
        <v>2792057</v>
      </c>
      <c r="AH12" s="15">
        <v>2753025</v>
      </c>
      <c r="AI12" s="15">
        <v>2754747</v>
      </c>
      <c r="AJ12" s="15">
        <v>2843510</v>
      </c>
      <c r="AK12" s="15">
        <v>2991125</v>
      </c>
      <c r="AL12" s="15">
        <v>3044547</v>
      </c>
      <c r="AM12" s="15">
        <v>3216274</v>
      </c>
      <c r="AN12" s="15">
        <v>3318263</v>
      </c>
      <c r="AO12" s="15">
        <v>3435023</v>
      </c>
      <c r="AP12" s="15">
        <v>3465714</v>
      </c>
      <c r="AQ12" s="15">
        <v>3455575</v>
      </c>
      <c r="AR12" s="16">
        <v>3462670</v>
      </c>
      <c r="AS12" s="17">
        <v>3508850</v>
      </c>
      <c r="AT12" s="17">
        <v>3910536</v>
      </c>
      <c r="AU12" s="18">
        <v>3927999</v>
      </c>
      <c r="AV12" s="18">
        <v>4057778</v>
      </c>
      <c r="AW12" s="20">
        <v>4218465</v>
      </c>
      <c r="AX12" s="20">
        <v>4217906</v>
      </c>
      <c r="AY12" s="18">
        <v>4456819</v>
      </c>
      <c r="AZ12" s="20">
        <v>4619658</v>
      </c>
      <c r="BA12" s="18">
        <v>4640345.2590000005</v>
      </c>
      <c r="BB12" s="18">
        <v>4693703</v>
      </c>
      <c r="BC12" s="18">
        <v>4826786</v>
      </c>
      <c r="BD12" s="18">
        <v>4899436</v>
      </c>
      <c r="BE12" s="21">
        <v>4959100</v>
      </c>
      <c r="BF12" s="21">
        <v>4965789</v>
      </c>
      <c r="BG12" s="21">
        <v>4827210</v>
      </c>
      <c r="BH12" s="21">
        <v>4883089</v>
      </c>
      <c r="BI12" s="22">
        <v>4667051</v>
      </c>
      <c r="BJ12" s="21">
        <v>4786431</v>
      </c>
      <c r="BK12" s="18">
        <v>4796734</v>
      </c>
      <c r="BL12" s="23">
        <v>4630907</v>
      </c>
      <c r="BM12" s="23">
        <v>4610055</v>
      </c>
      <c r="BN12" s="23">
        <v>4736966</v>
      </c>
      <c r="BO12" s="23">
        <v>4668163</v>
      </c>
      <c r="BP12" s="23">
        <v>4709948</v>
      </c>
      <c r="BQ12" s="23">
        <v>4587799</v>
      </c>
      <c r="BR12" s="23">
        <v>4812597</v>
      </c>
      <c r="BS12" s="53">
        <v>4798630</v>
      </c>
      <c r="BT12" s="53">
        <v>4743377</v>
      </c>
      <c r="BU12" s="53">
        <v>4403166</v>
      </c>
      <c r="BV12" s="53">
        <v>4531818</v>
      </c>
    </row>
    <row r="13" spans="1:74" ht="9.25" customHeight="1">
      <c r="A13" s="14" t="s">
        <v>11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122857</v>
      </c>
      <c r="M13" s="15">
        <v>133261</v>
      </c>
      <c r="N13" s="15">
        <v>138079</v>
      </c>
      <c r="O13" s="15">
        <v>144034</v>
      </c>
      <c r="P13" s="15">
        <v>147510</v>
      </c>
      <c r="Q13" s="15">
        <v>155705</v>
      </c>
      <c r="R13" s="15">
        <v>165675</v>
      </c>
      <c r="S13" s="15">
        <v>173752</v>
      </c>
      <c r="T13" s="15">
        <v>184039</v>
      </c>
      <c r="U13" s="15">
        <v>196525</v>
      </c>
      <c r="V13" s="15">
        <v>210044</v>
      </c>
      <c r="W13" s="15">
        <v>230797</v>
      </c>
      <c r="X13" s="15">
        <v>242246</v>
      </c>
      <c r="Y13" s="15">
        <v>256833</v>
      </c>
      <c r="Z13" s="15">
        <v>273498</v>
      </c>
      <c r="AA13" s="15">
        <v>265826</v>
      </c>
      <c r="AB13" s="15">
        <v>276266</v>
      </c>
      <c r="AC13" s="15">
        <v>289315</v>
      </c>
      <c r="AD13" s="15">
        <v>305434</v>
      </c>
      <c r="AE13" s="15">
        <v>316295</v>
      </c>
      <c r="AF13" s="15">
        <v>315760</v>
      </c>
      <c r="AG13" s="15">
        <v>304774</v>
      </c>
      <c r="AH13" s="15">
        <v>297913</v>
      </c>
      <c r="AI13" s="15">
        <v>299352</v>
      </c>
      <c r="AJ13" s="15">
        <v>300108</v>
      </c>
      <c r="AK13" s="15">
        <v>316537</v>
      </c>
      <c r="AL13" s="15">
        <v>317469</v>
      </c>
      <c r="AM13" s="15">
        <v>329924</v>
      </c>
      <c r="AN13" s="15">
        <v>339926</v>
      </c>
      <c r="AO13" s="15">
        <v>348963</v>
      </c>
      <c r="AP13" s="15">
        <v>363488</v>
      </c>
      <c r="AQ13" s="15">
        <v>360888</v>
      </c>
      <c r="AR13" s="16">
        <v>370441</v>
      </c>
      <c r="AS13" s="17">
        <v>370792</v>
      </c>
      <c r="AT13" s="17">
        <v>372667</v>
      </c>
      <c r="AU13" s="18">
        <v>385055</v>
      </c>
      <c r="AV13" s="18">
        <v>383362</v>
      </c>
      <c r="AW13" s="20">
        <v>382909</v>
      </c>
      <c r="AX13" s="20">
        <v>382944</v>
      </c>
      <c r="AY13" s="18">
        <v>381223</v>
      </c>
      <c r="AZ13" s="20">
        <v>372078</v>
      </c>
      <c r="BA13" s="18">
        <v>384107.98700000002</v>
      </c>
      <c r="BB13" s="18">
        <v>404684</v>
      </c>
      <c r="BC13" s="18">
        <v>433325</v>
      </c>
      <c r="BD13" s="18">
        <v>442905</v>
      </c>
      <c r="BE13" s="21">
        <v>444469</v>
      </c>
      <c r="BF13" s="21">
        <v>450140</v>
      </c>
      <c r="BG13" s="21">
        <v>467833</v>
      </c>
      <c r="BH13" s="21">
        <v>453984</v>
      </c>
      <c r="BI13" s="22">
        <v>431549</v>
      </c>
      <c r="BJ13" s="21">
        <v>437279</v>
      </c>
      <c r="BK13" s="18">
        <v>409601</v>
      </c>
      <c r="BL13" s="23">
        <v>461331</v>
      </c>
      <c r="BM13" s="23">
        <v>436913</v>
      </c>
      <c r="BN13" s="23">
        <v>437641</v>
      </c>
      <c r="BO13" s="23">
        <v>455279</v>
      </c>
      <c r="BP13" s="23">
        <v>429113</v>
      </c>
      <c r="BQ13" s="23">
        <v>444048</v>
      </c>
      <c r="BR13" s="23">
        <v>441219</v>
      </c>
      <c r="BS13" s="54">
        <v>431109</v>
      </c>
      <c r="BT13" s="54">
        <v>436711</v>
      </c>
      <c r="BU13" s="54">
        <v>335260</v>
      </c>
      <c r="BV13" s="54">
        <v>388680</v>
      </c>
    </row>
    <row r="14" spans="1:74" ht="9.25" customHeight="1">
      <c r="A14" s="32" t="s">
        <v>12</v>
      </c>
      <c r="B14" s="33">
        <v>159060</v>
      </c>
      <c r="C14" s="33">
        <v>170585</v>
      </c>
      <c r="D14" s="33">
        <v>177906</v>
      </c>
      <c r="E14" s="33">
        <v>190015</v>
      </c>
      <c r="F14" s="33">
        <v>195474</v>
      </c>
      <c r="G14" s="33">
        <v>201756</v>
      </c>
      <c r="H14" s="33">
        <v>211266</v>
      </c>
      <c r="I14" s="33">
        <v>222223</v>
      </c>
      <c r="J14" s="33">
        <v>220555</v>
      </c>
      <c r="K14" s="33">
        <v>231736</v>
      </c>
      <c r="L14" s="33">
        <v>236859</v>
      </c>
      <c r="M14" s="33">
        <v>242913</v>
      </c>
      <c r="N14" s="33">
        <v>252027</v>
      </c>
      <c r="O14" s="33">
        <v>258910</v>
      </c>
      <c r="P14" s="33">
        <v>261700</v>
      </c>
      <c r="Q14" s="33">
        <v>273979</v>
      </c>
      <c r="R14" s="33">
        <v>283391</v>
      </c>
      <c r="S14" s="33">
        <v>291811</v>
      </c>
      <c r="T14" s="33">
        <v>309727</v>
      </c>
      <c r="U14" s="33">
        <v>319865</v>
      </c>
      <c r="V14" s="33">
        <v>345212</v>
      </c>
      <c r="W14" s="33">
        <v>376634</v>
      </c>
      <c r="X14" s="33">
        <v>385529</v>
      </c>
      <c r="Y14" s="33">
        <v>422820</v>
      </c>
      <c r="Z14" s="33">
        <v>424843</v>
      </c>
      <c r="AA14" s="33">
        <v>411452</v>
      </c>
      <c r="AB14" s="33">
        <v>433904</v>
      </c>
      <c r="AC14" s="33">
        <v>479012</v>
      </c>
      <c r="AD14" s="33">
        <v>483409</v>
      </c>
      <c r="AE14" s="33">
        <v>518248</v>
      </c>
      <c r="AF14" s="33">
        <v>497777</v>
      </c>
      <c r="AG14" s="33">
        <v>442122</v>
      </c>
      <c r="AH14" s="33">
        <v>420679</v>
      </c>
      <c r="AI14" s="33">
        <v>408350</v>
      </c>
      <c r="AJ14" s="33">
        <v>418562</v>
      </c>
      <c r="AK14" s="33">
        <v>411293</v>
      </c>
      <c r="AL14" s="33">
        <v>426131</v>
      </c>
      <c r="AM14" s="33">
        <v>436498</v>
      </c>
      <c r="AN14" s="33">
        <v>427876</v>
      </c>
      <c r="AO14" s="33">
        <v>436596</v>
      </c>
      <c r="AP14" s="33">
        <v>454139</v>
      </c>
      <c r="AQ14" s="33">
        <v>464899</v>
      </c>
      <c r="AR14" s="36">
        <v>455365</v>
      </c>
      <c r="AS14" s="37">
        <v>479204</v>
      </c>
      <c r="AT14" s="37">
        <v>522739</v>
      </c>
      <c r="AU14" s="38">
        <v>528438</v>
      </c>
      <c r="AV14" s="38">
        <v>544855</v>
      </c>
      <c r="AW14" s="19">
        <v>569417</v>
      </c>
      <c r="AX14" s="19">
        <v>586629</v>
      </c>
      <c r="AY14" s="38">
        <v>621506</v>
      </c>
      <c r="AZ14" s="19">
        <v>654935</v>
      </c>
      <c r="BA14" s="38">
        <v>631692.16200000001</v>
      </c>
      <c r="BB14" s="38">
        <v>609051</v>
      </c>
      <c r="BC14" s="38">
        <v>625328</v>
      </c>
      <c r="BD14" s="38">
        <v>593515</v>
      </c>
      <c r="BE14" s="39">
        <v>595752</v>
      </c>
      <c r="BF14" s="39">
        <v>582140</v>
      </c>
      <c r="BG14" s="39">
        <v>607855</v>
      </c>
      <c r="BH14" s="39">
        <v>630155</v>
      </c>
      <c r="BI14" s="40">
        <v>621448</v>
      </c>
      <c r="BJ14" s="39">
        <v>627966</v>
      </c>
      <c r="BK14" s="38">
        <v>657282</v>
      </c>
      <c r="BL14" s="41">
        <v>643170</v>
      </c>
      <c r="BM14" s="41">
        <v>660533</v>
      </c>
      <c r="BN14" s="41">
        <v>666601</v>
      </c>
      <c r="BO14" s="41">
        <v>703882</v>
      </c>
      <c r="BP14" s="41">
        <v>673253</v>
      </c>
      <c r="BQ14" s="41">
        <v>717347</v>
      </c>
      <c r="BR14" s="41">
        <v>733892</v>
      </c>
      <c r="BS14" s="52">
        <v>688307</v>
      </c>
      <c r="BT14" s="52">
        <v>734046</v>
      </c>
      <c r="BU14" s="52">
        <v>707918</v>
      </c>
      <c r="BV14" s="52">
        <v>758838</v>
      </c>
    </row>
    <row r="15" spans="1:74" ht="9.25" customHeight="1">
      <c r="A15" s="14" t="s">
        <v>13</v>
      </c>
      <c r="B15" s="15">
        <v>1805706</v>
      </c>
      <c r="C15" s="15">
        <v>2023145</v>
      </c>
      <c r="D15" s="15">
        <v>2153236</v>
      </c>
      <c r="E15" s="15">
        <v>2181902</v>
      </c>
      <c r="F15" s="15">
        <v>2272829</v>
      </c>
      <c r="G15" s="15">
        <v>2294752</v>
      </c>
      <c r="H15" s="15">
        <v>2505253</v>
      </c>
      <c r="I15" s="15">
        <v>2566112</v>
      </c>
      <c r="J15" s="15">
        <v>2704849</v>
      </c>
      <c r="K15" s="15">
        <v>2750630</v>
      </c>
      <c r="L15" s="15">
        <v>2805616</v>
      </c>
      <c r="M15" s="15">
        <v>2889623</v>
      </c>
      <c r="N15" s="15">
        <v>2969709</v>
      </c>
      <c r="O15" s="15">
        <v>3052493</v>
      </c>
      <c r="P15" s="15">
        <v>3164534</v>
      </c>
      <c r="Q15" s="15">
        <v>3307680</v>
      </c>
      <c r="R15" s="15">
        <v>3437841</v>
      </c>
      <c r="S15" s="15">
        <v>3636786</v>
      </c>
      <c r="T15" s="15">
        <v>3739872</v>
      </c>
      <c r="U15" s="15">
        <v>3931594</v>
      </c>
      <c r="V15" s="15">
        <v>4097656</v>
      </c>
      <c r="W15" s="15">
        <v>4223506</v>
      </c>
      <c r="X15" s="15">
        <v>4292857</v>
      </c>
      <c r="Y15" s="15">
        <v>4656554</v>
      </c>
      <c r="Z15" s="15">
        <v>4807790</v>
      </c>
      <c r="AA15" s="15">
        <v>4573296</v>
      </c>
      <c r="AB15" s="15">
        <v>4759415</v>
      </c>
      <c r="AC15" s="15">
        <v>4947920</v>
      </c>
      <c r="AD15" s="15">
        <v>5061310</v>
      </c>
      <c r="AE15" s="15">
        <v>5367550</v>
      </c>
      <c r="AF15" s="15">
        <v>4967287</v>
      </c>
      <c r="AG15" s="15">
        <v>4493038</v>
      </c>
      <c r="AH15" s="15">
        <v>4352102</v>
      </c>
      <c r="AI15" s="15">
        <v>4284689</v>
      </c>
      <c r="AJ15" s="15">
        <v>4401767</v>
      </c>
      <c r="AK15" s="15">
        <v>4359457</v>
      </c>
      <c r="AL15" s="15">
        <v>4660305</v>
      </c>
      <c r="AM15" s="15">
        <v>4561851</v>
      </c>
      <c r="AN15" s="15">
        <v>4603363</v>
      </c>
      <c r="AO15" s="15">
        <v>4803480</v>
      </c>
      <c r="AP15" s="15">
        <v>4833345</v>
      </c>
      <c r="AQ15" s="15">
        <v>4441642</v>
      </c>
      <c r="AR15" s="16">
        <v>4345307</v>
      </c>
      <c r="AS15" s="17">
        <v>4483515</v>
      </c>
      <c r="AT15" s="17">
        <v>4572328</v>
      </c>
      <c r="AU15" s="18">
        <v>4651703</v>
      </c>
      <c r="AV15" s="18">
        <v>4593398</v>
      </c>
      <c r="AW15" s="20">
        <v>4631162</v>
      </c>
      <c r="AX15" s="20">
        <v>4705717</v>
      </c>
      <c r="AY15" s="18">
        <v>4724884</v>
      </c>
      <c r="AZ15" s="20">
        <v>4989037</v>
      </c>
      <c r="BA15" s="18">
        <v>5012000.2</v>
      </c>
      <c r="BB15" s="18">
        <v>5015217</v>
      </c>
      <c r="BC15" s="18">
        <v>5060607</v>
      </c>
      <c r="BD15" s="18">
        <v>5077060</v>
      </c>
      <c r="BE15" s="21">
        <v>5167835</v>
      </c>
      <c r="BF15" s="21">
        <v>5053245</v>
      </c>
      <c r="BG15" s="21">
        <v>5011306</v>
      </c>
      <c r="BH15" s="21">
        <v>4999558</v>
      </c>
      <c r="BI15" s="22">
        <v>4836836</v>
      </c>
      <c r="BJ15" s="21">
        <v>4772810</v>
      </c>
      <c r="BK15" s="18">
        <v>4760179</v>
      </c>
      <c r="BL15" s="23">
        <v>4584599</v>
      </c>
      <c r="BM15" s="23">
        <v>4520233</v>
      </c>
      <c r="BN15" s="23">
        <v>4504374</v>
      </c>
      <c r="BO15" s="23">
        <v>4645212</v>
      </c>
      <c r="BP15" s="23">
        <v>4850518</v>
      </c>
      <c r="BQ15" s="23">
        <v>4645051</v>
      </c>
      <c r="BR15" s="23">
        <v>4613983</v>
      </c>
      <c r="BS15" s="53">
        <v>4564577</v>
      </c>
      <c r="BT15" s="53">
        <v>4454984</v>
      </c>
      <c r="BU15" s="53">
        <v>3662554</v>
      </c>
      <c r="BV15" s="53">
        <v>3993039</v>
      </c>
    </row>
    <row r="16" spans="1:74" ht="9.25" customHeight="1">
      <c r="A16" s="14" t="s">
        <v>14</v>
      </c>
      <c r="B16" s="15">
        <v>963393</v>
      </c>
      <c r="C16" s="15">
        <v>1071886</v>
      </c>
      <c r="D16" s="15">
        <v>1152964</v>
      </c>
      <c r="E16" s="15">
        <v>1214919</v>
      </c>
      <c r="F16" s="15">
        <v>1316600</v>
      </c>
      <c r="G16" s="15">
        <v>1354444</v>
      </c>
      <c r="H16" s="15">
        <v>1467537</v>
      </c>
      <c r="I16" s="15">
        <v>1549612</v>
      </c>
      <c r="J16" s="15">
        <v>1562148</v>
      </c>
      <c r="K16" s="15">
        <v>1553053</v>
      </c>
      <c r="L16" s="15">
        <v>1618701</v>
      </c>
      <c r="M16" s="15">
        <v>1648533</v>
      </c>
      <c r="N16" s="15">
        <v>1654184</v>
      </c>
      <c r="O16" s="15">
        <v>1706335</v>
      </c>
      <c r="P16" s="15">
        <v>1754867</v>
      </c>
      <c r="Q16" s="15">
        <v>1823309</v>
      </c>
      <c r="R16" s="15">
        <v>1899635</v>
      </c>
      <c r="S16" s="15">
        <v>1985648</v>
      </c>
      <c r="T16" s="15">
        <v>2046934</v>
      </c>
      <c r="U16" s="15">
        <v>2173794</v>
      </c>
      <c r="V16" s="15">
        <v>2260178</v>
      </c>
      <c r="W16" s="15">
        <v>2365800</v>
      </c>
      <c r="X16" s="15">
        <v>2467832</v>
      </c>
      <c r="Y16" s="15">
        <v>2621031</v>
      </c>
      <c r="Z16" s="15">
        <v>2732472</v>
      </c>
      <c r="AA16" s="15">
        <v>2597773</v>
      </c>
      <c r="AB16" s="15">
        <v>2644285</v>
      </c>
      <c r="AC16" s="15">
        <v>2778791</v>
      </c>
      <c r="AD16" s="15">
        <v>2794992</v>
      </c>
      <c r="AE16" s="15">
        <v>2936851</v>
      </c>
      <c r="AF16" s="15">
        <v>2756976</v>
      </c>
      <c r="AG16" s="15">
        <v>2537585</v>
      </c>
      <c r="AH16" s="15">
        <v>2539242</v>
      </c>
      <c r="AI16" s="15">
        <v>2336250</v>
      </c>
      <c r="AJ16" s="15">
        <v>2381122</v>
      </c>
      <c r="AK16" s="15">
        <v>2405539</v>
      </c>
      <c r="AL16" s="15">
        <v>2424768</v>
      </c>
      <c r="AM16" s="15">
        <v>2511307</v>
      </c>
      <c r="AN16" s="15">
        <v>2630466</v>
      </c>
      <c r="AO16" s="15">
        <v>2645729</v>
      </c>
      <c r="AP16" s="15">
        <v>2569801</v>
      </c>
      <c r="AQ16" s="15">
        <v>2589010</v>
      </c>
      <c r="AR16" s="16">
        <v>2542833</v>
      </c>
      <c r="AS16" s="17">
        <v>2606881</v>
      </c>
      <c r="AT16" s="17">
        <v>2738094</v>
      </c>
      <c r="AU16" s="18">
        <v>2794766</v>
      </c>
      <c r="AV16" s="18">
        <v>2902287</v>
      </c>
      <c r="AW16" s="20">
        <v>2895763</v>
      </c>
      <c r="AX16" s="20">
        <v>2905263</v>
      </c>
      <c r="AY16" s="18">
        <v>3094446</v>
      </c>
      <c r="AZ16" s="20">
        <v>3048711</v>
      </c>
      <c r="BA16" s="18">
        <v>3094610.7689999999</v>
      </c>
      <c r="BB16" s="18">
        <v>3120985</v>
      </c>
      <c r="BC16" s="18">
        <v>3076612</v>
      </c>
      <c r="BD16" s="18">
        <v>3197024</v>
      </c>
      <c r="BE16" s="21">
        <v>3173039</v>
      </c>
      <c r="BF16" s="21">
        <v>3131836</v>
      </c>
      <c r="BG16" s="21">
        <v>3097830</v>
      </c>
      <c r="BH16" s="21">
        <v>3053154</v>
      </c>
      <c r="BI16" s="22">
        <v>2970967</v>
      </c>
      <c r="BJ16" s="21">
        <v>2945733</v>
      </c>
      <c r="BK16" s="18">
        <v>3040895</v>
      </c>
      <c r="BL16" s="23">
        <v>2930702</v>
      </c>
      <c r="BM16" s="23">
        <v>2893749</v>
      </c>
      <c r="BN16" s="23">
        <v>2906274</v>
      </c>
      <c r="BO16" s="23">
        <v>3024572</v>
      </c>
      <c r="BP16" s="23">
        <v>2999321</v>
      </c>
      <c r="BQ16" s="23">
        <v>3046109</v>
      </c>
      <c r="BR16" s="23">
        <v>3044745</v>
      </c>
      <c r="BS16" s="53">
        <v>2971529</v>
      </c>
      <c r="BT16" s="53">
        <v>2934667</v>
      </c>
      <c r="BU16" s="53">
        <v>2698260</v>
      </c>
      <c r="BV16" s="53">
        <v>2964920</v>
      </c>
    </row>
    <row r="17" spans="1:74" ht="9.25" customHeight="1">
      <c r="A17" s="34" t="s">
        <v>15</v>
      </c>
      <c r="B17" s="35">
        <v>647627</v>
      </c>
      <c r="C17" s="35">
        <v>724203</v>
      </c>
      <c r="D17" s="35">
        <v>741885</v>
      </c>
      <c r="E17" s="35">
        <v>766311</v>
      </c>
      <c r="F17" s="35">
        <v>803704</v>
      </c>
      <c r="G17" s="35">
        <v>802000</v>
      </c>
      <c r="H17" s="35">
        <v>847782</v>
      </c>
      <c r="I17" s="35">
        <v>871330</v>
      </c>
      <c r="J17" s="35">
        <v>838829</v>
      </c>
      <c r="K17" s="35">
        <v>909627</v>
      </c>
      <c r="L17" s="35">
        <v>945644</v>
      </c>
      <c r="M17" s="35">
        <v>953553</v>
      </c>
      <c r="N17" s="35">
        <v>959387</v>
      </c>
      <c r="O17" s="35">
        <v>974835</v>
      </c>
      <c r="P17" s="35">
        <v>990733</v>
      </c>
      <c r="Q17" s="35">
        <v>1024142</v>
      </c>
      <c r="R17" s="35">
        <v>1060322</v>
      </c>
      <c r="S17" s="35">
        <v>1098619</v>
      </c>
      <c r="T17" s="35">
        <v>1174497</v>
      </c>
      <c r="U17" s="35">
        <v>1214421</v>
      </c>
      <c r="V17" s="35">
        <v>1261482</v>
      </c>
      <c r="W17" s="35">
        <v>1259372</v>
      </c>
      <c r="X17" s="35">
        <v>1380803</v>
      </c>
      <c r="Y17" s="35">
        <v>1436851</v>
      </c>
      <c r="Z17" s="35">
        <v>1566149</v>
      </c>
      <c r="AA17" s="35">
        <v>1440441</v>
      </c>
      <c r="AB17" s="35">
        <v>1460109</v>
      </c>
      <c r="AC17" s="35">
        <v>1561841</v>
      </c>
      <c r="AD17" s="35">
        <v>1585471</v>
      </c>
      <c r="AE17" s="35">
        <v>1601581</v>
      </c>
      <c r="AF17" s="35">
        <v>1524801</v>
      </c>
      <c r="AG17" s="35">
        <v>1390589</v>
      </c>
      <c r="AH17" s="35">
        <v>1309008</v>
      </c>
      <c r="AI17" s="35">
        <v>1280262</v>
      </c>
      <c r="AJ17" s="35">
        <v>1314953</v>
      </c>
      <c r="AK17" s="35">
        <v>1270119</v>
      </c>
      <c r="AL17" s="35">
        <v>1258219</v>
      </c>
      <c r="AM17" s="35">
        <v>1259975</v>
      </c>
      <c r="AN17" s="35">
        <v>1266997</v>
      </c>
      <c r="AO17" s="35">
        <v>1288803</v>
      </c>
      <c r="AP17" s="35">
        <v>1313760</v>
      </c>
      <c r="AQ17" s="35">
        <v>1296381</v>
      </c>
      <c r="AR17" s="42">
        <v>1287864</v>
      </c>
      <c r="AS17" s="43">
        <v>1281169</v>
      </c>
      <c r="AT17" s="43">
        <v>1323502</v>
      </c>
      <c r="AU17" s="44">
        <v>1388391</v>
      </c>
      <c r="AV17" s="44">
        <v>1396552</v>
      </c>
      <c r="AW17" s="45">
        <v>1456486</v>
      </c>
      <c r="AX17" s="45">
        <v>1433765</v>
      </c>
      <c r="AY17" s="44">
        <v>1498561</v>
      </c>
      <c r="AZ17" s="45">
        <v>1512989</v>
      </c>
      <c r="BA17" s="44">
        <v>1494514.0929999999</v>
      </c>
      <c r="BB17" s="44">
        <v>1475812</v>
      </c>
      <c r="BC17" s="44">
        <v>1519134</v>
      </c>
      <c r="BD17" s="44">
        <v>1532197</v>
      </c>
      <c r="BE17" s="46">
        <v>1543332</v>
      </c>
      <c r="BF17" s="46">
        <v>1528512</v>
      </c>
      <c r="BG17" s="46">
        <v>1528570</v>
      </c>
      <c r="BH17" s="46">
        <v>1518186</v>
      </c>
      <c r="BI17" s="47">
        <v>1500415</v>
      </c>
      <c r="BJ17" s="46">
        <v>1511323</v>
      </c>
      <c r="BK17" s="44">
        <v>1544035</v>
      </c>
      <c r="BL17" s="48">
        <v>1570233</v>
      </c>
      <c r="BM17" s="48">
        <v>1474297</v>
      </c>
      <c r="BN17" s="48">
        <v>1495747</v>
      </c>
      <c r="BO17" s="48">
        <v>1570178</v>
      </c>
      <c r="BP17" s="48">
        <v>1486300</v>
      </c>
      <c r="BQ17" s="48">
        <v>1649512</v>
      </c>
      <c r="BR17" s="48">
        <v>1497134</v>
      </c>
      <c r="BS17" s="54">
        <v>1483052</v>
      </c>
      <c r="BT17" s="54">
        <v>1486910</v>
      </c>
      <c r="BU17" s="54">
        <v>1309964</v>
      </c>
      <c r="BV17" s="54">
        <v>1471486</v>
      </c>
    </row>
    <row r="18" spans="1:74" ht="8.9" customHeight="1">
      <c r="A18" s="14" t="s">
        <v>16</v>
      </c>
      <c r="B18" s="15">
        <v>471828</v>
      </c>
      <c r="C18" s="15">
        <v>543530</v>
      </c>
      <c r="D18" s="15">
        <v>564180</v>
      </c>
      <c r="E18" s="15">
        <v>601167</v>
      </c>
      <c r="F18" s="15">
        <v>616837</v>
      </c>
      <c r="G18" s="15">
        <v>647102</v>
      </c>
      <c r="H18" s="15">
        <v>678789</v>
      </c>
      <c r="I18" s="15">
        <v>708635</v>
      </c>
      <c r="J18" s="15">
        <v>714845</v>
      </c>
      <c r="K18" s="15">
        <v>741372</v>
      </c>
      <c r="L18" s="15">
        <v>757494</v>
      </c>
      <c r="M18" s="15">
        <v>770310</v>
      </c>
      <c r="N18" s="15">
        <v>801290</v>
      </c>
      <c r="O18" s="15">
        <v>841902</v>
      </c>
      <c r="P18" s="15">
        <v>865860</v>
      </c>
      <c r="Q18" s="15">
        <v>886927</v>
      </c>
      <c r="R18" s="15">
        <v>915755</v>
      </c>
      <c r="S18" s="15">
        <v>936487</v>
      </c>
      <c r="T18" s="15">
        <v>971245</v>
      </c>
      <c r="U18" s="15">
        <v>1031954</v>
      </c>
      <c r="V18" s="15">
        <v>1076556</v>
      </c>
      <c r="W18" s="15">
        <v>1086950</v>
      </c>
      <c r="X18" s="15">
        <v>1106509</v>
      </c>
      <c r="Y18" s="15">
        <v>1201252</v>
      </c>
      <c r="Z18" s="15">
        <v>1201360</v>
      </c>
      <c r="AA18" s="15">
        <v>1173597</v>
      </c>
      <c r="AB18" s="15">
        <v>1228179</v>
      </c>
      <c r="AC18" s="15">
        <v>1326321</v>
      </c>
      <c r="AD18" s="15">
        <v>1297354</v>
      </c>
      <c r="AE18" s="15">
        <v>1333889</v>
      </c>
      <c r="AF18" s="15">
        <v>1289132</v>
      </c>
      <c r="AG18" s="15">
        <v>1208569</v>
      </c>
      <c r="AH18" s="15">
        <v>1171889</v>
      </c>
      <c r="AI18" s="15">
        <v>1147316</v>
      </c>
      <c r="AJ18" s="15">
        <v>1164286</v>
      </c>
      <c r="AK18" s="15">
        <v>1145886</v>
      </c>
      <c r="AL18" s="15">
        <v>1152918</v>
      </c>
      <c r="AM18" s="15">
        <v>1169732</v>
      </c>
      <c r="AN18" s="15">
        <v>1185506</v>
      </c>
      <c r="AO18" s="15">
        <v>1254037</v>
      </c>
      <c r="AP18" s="15">
        <v>1225814</v>
      </c>
      <c r="AQ18" s="15">
        <v>1180600</v>
      </c>
      <c r="AR18" s="16">
        <v>1148794</v>
      </c>
      <c r="AS18" s="17">
        <v>1156517</v>
      </c>
      <c r="AT18" s="17">
        <v>1168705</v>
      </c>
      <c r="AU18" s="18">
        <v>1192638</v>
      </c>
      <c r="AV18" s="18">
        <v>1190041</v>
      </c>
      <c r="AW18" s="20">
        <v>1258374</v>
      </c>
      <c r="AX18" s="20">
        <v>1247800</v>
      </c>
      <c r="AY18" s="18">
        <v>1298007</v>
      </c>
      <c r="AZ18" s="20">
        <v>1393463</v>
      </c>
      <c r="BA18" s="18">
        <v>1314816.6950000001</v>
      </c>
      <c r="BB18" s="18">
        <v>1236951</v>
      </c>
      <c r="BC18" s="18">
        <v>1161487</v>
      </c>
      <c r="BD18" s="18">
        <v>1337343</v>
      </c>
      <c r="BE18" s="21">
        <v>1282196</v>
      </c>
      <c r="BF18" s="21">
        <v>1117791</v>
      </c>
      <c r="BG18" s="21">
        <v>1241476</v>
      </c>
      <c r="BH18" s="21">
        <v>1266187</v>
      </c>
      <c r="BI18" s="22">
        <v>1259882</v>
      </c>
      <c r="BJ18" s="21">
        <v>1277966</v>
      </c>
      <c r="BK18" s="18">
        <v>1296822</v>
      </c>
      <c r="BL18" s="23">
        <v>1262070</v>
      </c>
      <c r="BM18" s="23">
        <v>1208024</v>
      </c>
      <c r="BN18" s="23">
        <v>1253991</v>
      </c>
      <c r="BO18" s="23">
        <v>1322139</v>
      </c>
      <c r="BP18" s="23">
        <v>1194249</v>
      </c>
      <c r="BQ18" s="23">
        <v>1287766</v>
      </c>
      <c r="BR18" s="23">
        <v>1227362</v>
      </c>
      <c r="BS18" s="52">
        <v>1205658</v>
      </c>
      <c r="BT18" s="52">
        <v>1284250</v>
      </c>
      <c r="BU18" s="52">
        <v>1179982</v>
      </c>
      <c r="BV18" s="52">
        <v>1202904</v>
      </c>
    </row>
    <row r="19" spans="1:74" ht="8.9" customHeight="1">
      <c r="A19" s="14" t="s">
        <v>17</v>
      </c>
      <c r="B19" s="15">
        <v>493418</v>
      </c>
      <c r="C19" s="15">
        <v>541802</v>
      </c>
      <c r="D19" s="15">
        <v>571513</v>
      </c>
      <c r="E19" s="15">
        <v>609766</v>
      </c>
      <c r="F19" s="15">
        <v>640102</v>
      </c>
      <c r="G19" s="15">
        <v>672793</v>
      </c>
      <c r="H19" s="15">
        <v>720691</v>
      </c>
      <c r="I19" s="15">
        <v>753874</v>
      </c>
      <c r="J19" s="15">
        <v>782028</v>
      </c>
      <c r="K19" s="15">
        <v>797312</v>
      </c>
      <c r="L19" s="15">
        <v>828108</v>
      </c>
      <c r="M19" s="15">
        <v>840963</v>
      </c>
      <c r="N19" s="15">
        <v>859041</v>
      </c>
      <c r="O19" s="15">
        <v>880192</v>
      </c>
      <c r="P19" s="15">
        <v>953116</v>
      </c>
      <c r="Q19" s="15">
        <v>990328</v>
      </c>
      <c r="R19" s="15">
        <v>1052483</v>
      </c>
      <c r="S19" s="15">
        <v>1100840</v>
      </c>
      <c r="T19" s="15">
        <v>1169760</v>
      </c>
      <c r="U19" s="15">
        <v>1244323</v>
      </c>
      <c r="V19" s="15">
        <v>1316032</v>
      </c>
      <c r="W19" s="15">
        <v>1391541</v>
      </c>
      <c r="X19" s="15">
        <v>1492756</v>
      </c>
      <c r="Y19" s="15">
        <v>1582949</v>
      </c>
      <c r="Z19" s="15">
        <v>1653995</v>
      </c>
      <c r="AA19" s="15">
        <v>1625278</v>
      </c>
      <c r="AB19" s="15">
        <v>1690036</v>
      </c>
      <c r="AC19" s="15">
        <v>1788590</v>
      </c>
      <c r="AD19" s="15">
        <v>1836994</v>
      </c>
      <c r="AE19" s="15">
        <v>1889133</v>
      </c>
      <c r="AF19" s="15">
        <v>1817182</v>
      </c>
      <c r="AG19" s="15">
        <v>1698442</v>
      </c>
      <c r="AH19" s="15">
        <v>1688497</v>
      </c>
      <c r="AI19" s="15">
        <v>1673670</v>
      </c>
      <c r="AJ19" s="15">
        <v>1684817</v>
      </c>
      <c r="AK19" s="15">
        <v>1690290</v>
      </c>
      <c r="AL19" s="15">
        <v>1653770</v>
      </c>
      <c r="AM19" s="15">
        <v>1765594</v>
      </c>
      <c r="AN19" s="15">
        <v>1772236</v>
      </c>
      <c r="AO19" s="15">
        <v>1805674</v>
      </c>
      <c r="AP19" s="15">
        <v>1792234</v>
      </c>
      <c r="AQ19" s="15">
        <v>1779908</v>
      </c>
      <c r="AR19" s="16">
        <v>1799146</v>
      </c>
      <c r="AS19" s="17">
        <v>1869812</v>
      </c>
      <c r="AT19" s="17">
        <v>1890024</v>
      </c>
      <c r="AU19" s="18">
        <v>1907606</v>
      </c>
      <c r="AV19" s="18">
        <v>1960974</v>
      </c>
      <c r="AW19" s="20">
        <v>1776376</v>
      </c>
      <c r="AX19" s="20">
        <v>2056492</v>
      </c>
      <c r="AY19" s="18">
        <v>2072992</v>
      </c>
      <c r="AZ19" s="20">
        <v>2120311</v>
      </c>
      <c r="BA19" s="18">
        <v>2020900.9789999998</v>
      </c>
      <c r="BB19" s="18">
        <v>2085629</v>
      </c>
      <c r="BC19" s="18">
        <v>2062529</v>
      </c>
      <c r="BD19" s="18">
        <v>2143961</v>
      </c>
      <c r="BE19" s="21">
        <v>2225856</v>
      </c>
      <c r="BF19" s="21">
        <v>2141791</v>
      </c>
      <c r="BG19" s="21">
        <v>2109807</v>
      </c>
      <c r="BH19" s="21">
        <v>2161295</v>
      </c>
      <c r="BI19" s="22">
        <v>2090807</v>
      </c>
      <c r="BJ19" s="21">
        <v>2162032</v>
      </c>
      <c r="BK19" s="18">
        <v>2168790</v>
      </c>
      <c r="BL19" s="23">
        <v>2114195</v>
      </c>
      <c r="BM19" s="23">
        <v>2098219</v>
      </c>
      <c r="BN19" s="23">
        <v>2074192</v>
      </c>
      <c r="BO19" s="23">
        <v>2111377</v>
      </c>
      <c r="BP19" s="23">
        <v>2067021</v>
      </c>
      <c r="BQ19" s="23">
        <v>2134147</v>
      </c>
      <c r="BR19" s="23">
        <v>2125246</v>
      </c>
      <c r="BS19" s="53">
        <v>2130436</v>
      </c>
      <c r="BT19" s="53">
        <v>2146204</v>
      </c>
      <c r="BU19" s="53">
        <v>1922559</v>
      </c>
      <c r="BV19" s="53">
        <v>2074053</v>
      </c>
    </row>
    <row r="20" spans="1:74" ht="8.9" customHeight="1">
      <c r="A20" s="14" t="s">
        <v>18</v>
      </c>
      <c r="B20" s="15">
        <v>445396</v>
      </c>
      <c r="C20" s="15">
        <v>495838</v>
      </c>
      <c r="D20" s="15">
        <v>530787</v>
      </c>
      <c r="E20" s="15">
        <v>571936</v>
      </c>
      <c r="F20" s="15">
        <v>614793</v>
      </c>
      <c r="G20" s="15">
        <v>652120</v>
      </c>
      <c r="H20" s="15">
        <v>707706</v>
      </c>
      <c r="I20" s="15">
        <v>776965</v>
      </c>
      <c r="J20" s="15">
        <v>817427</v>
      </c>
      <c r="K20" s="15">
        <v>845354</v>
      </c>
      <c r="L20" s="15">
        <v>873598</v>
      </c>
      <c r="M20" s="15">
        <v>879593</v>
      </c>
      <c r="N20" s="15">
        <v>898523</v>
      </c>
      <c r="O20" s="15">
        <v>932483</v>
      </c>
      <c r="P20" s="15">
        <v>968208</v>
      </c>
      <c r="Q20" s="15">
        <v>1039599</v>
      </c>
      <c r="R20" s="15">
        <v>1113210</v>
      </c>
      <c r="S20" s="15">
        <v>1177434</v>
      </c>
      <c r="T20" s="15">
        <v>1229899</v>
      </c>
      <c r="U20" s="15">
        <v>1311291</v>
      </c>
      <c r="V20" s="15">
        <v>1370799</v>
      </c>
      <c r="W20" s="15">
        <v>1431718</v>
      </c>
      <c r="X20" s="15">
        <v>1487078</v>
      </c>
      <c r="Y20" s="15">
        <v>1627902</v>
      </c>
      <c r="Z20" s="15">
        <v>1714938</v>
      </c>
      <c r="AA20" s="15">
        <v>1687086</v>
      </c>
      <c r="AB20" s="15">
        <v>1777329</v>
      </c>
      <c r="AC20" s="15">
        <v>1918614</v>
      </c>
      <c r="AD20" s="15">
        <v>2006575</v>
      </c>
      <c r="AE20" s="15">
        <v>2090318</v>
      </c>
      <c r="AF20" s="15">
        <v>2079588</v>
      </c>
      <c r="AG20" s="15">
        <v>2012771</v>
      </c>
      <c r="AH20" s="15">
        <v>2056535</v>
      </c>
      <c r="AI20" s="15">
        <v>2076371</v>
      </c>
      <c r="AJ20" s="15">
        <v>2093158</v>
      </c>
      <c r="AK20" s="15">
        <v>2090737</v>
      </c>
      <c r="AL20" s="15">
        <v>2017247</v>
      </c>
      <c r="AM20" s="15">
        <v>2047398</v>
      </c>
      <c r="AN20" s="15">
        <v>1958296</v>
      </c>
      <c r="AO20" s="15">
        <v>1969629</v>
      </c>
      <c r="AP20" s="15">
        <v>1912341</v>
      </c>
      <c r="AQ20" s="15">
        <v>1790914</v>
      </c>
      <c r="AR20" s="16">
        <v>1719583</v>
      </c>
      <c r="AS20" s="17">
        <v>1851277</v>
      </c>
      <c r="AT20" s="17">
        <v>1904510</v>
      </c>
      <c r="AU20" s="18">
        <v>1881685</v>
      </c>
      <c r="AV20" s="18">
        <v>1924180</v>
      </c>
      <c r="AW20" s="20">
        <v>2089414</v>
      </c>
      <c r="AX20" s="20">
        <v>1918388</v>
      </c>
      <c r="AY20" s="18">
        <v>2061110</v>
      </c>
      <c r="AZ20" s="20">
        <v>2062004</v>
      </c>
      <c r="BA20" s="18">
        <v>2160512.7310000001</v>
      </c>
      <c r="BB20" s="18">
        <v>2151437</v>
      </c>
      <c r="BC20" s="18">
        <v>2218653</v>
      </c>
      <c r="BD20" s="18">
        <v>2269312</v>
      </c>
      <c r="BE20" s="21">
        <v>2200827</v>
      </c>
      <c r="BF20" s="21">
        <v>2236901</v>
      </c>
      <c r="BG20" s="21">
        <v>2526746</v>
      </c>
      <c r="BH20" s="21">
        <v>2164678</v>
      </c>
      <c r="BI20" s="22">
        <v>2094762</v>
      </c>
      <c r="BJ20" s="21">
        <v>2226788</v>
      </c>
      <c r="BK20" s="18">
        <v>2216089</v>
      </c>
      <c r="BL20" s="23">
        <v>2219551</v>
      </c>
      <c r="BM20" s="23">
        <v>2149410</v>
      </c>
      <c r="BN20" s="23">
        <v>2191565</v>
      </c>
      <c r="BO20" s="23">
        <v>2244508</v>
      </c>
      <c r="BP20" s="23">
        <v>2179194</v>
      </c>
      <c r="BQ20" s="23">
        <v>2128383</v>
      </c>
      <c r="BR20" s="23">
        <v>2046902</v>
      </c>
      <c r="BS20" s="53">
        <v>2037250</v>
      </c>
      <c r="BT20" s="53">
        <v>2089133</v>
      </c>
      <c r="BU20" s="53">
        <v>1827355</v>
      </c>
      <c r="BV20" s="53">
        <v>2048296</v>
      </c>
    </row>
    <row r="21" spans="1:74" ht="8.9" customHeight="1">
      <c r="A21" s="14" t="s">
        <v>19</v>
      </c>
      <c r="B21" s="15">
        <v>202947</v>
      </c>
      <c r="C21" s="15">
        <v>214568</v>
      </c>
      <c r="D21" s="15">
        <v>227909</v>
      </c>
      <c r="E21" s="15">
        <v>237910</v>
      </c>
      <c r="F21" s="15">
        <v>250169</v>
      </c>
      <c r="G21" s="15">
        <v>261148</v>
      </c>
      <c r="H21" s="15">
        <v>277220</v>
      </c>
      <c r="I21" s="15">
        <v>284138</v>
      </c>
      <c r="J21" s="15">
        <v>299219</v>
      </c>
      <c r="K21" s="15">
        <v>306323</v>
      </c>
      <c r="L21" s="15">
        <v>317231</v>
      </c>
      <c r="M21" s="15">
        <v>329079</v>
      </c>
      <c r="N21" s="15">
        <v>334610</v>
      </c>
      <c r="O21" s="15">
        <v>336430</v>
      </c>
      <c r="P21" s="15">
        <v>344811</v>
      </c>
      <c r="Q21" s="15">
        <v>359208</v>
      </c>
      <c r="R21" s="15">
        <v>373912</v>
      </c>
      <c r="S21" s="15">
        <v>384345</v>
      </c>
      <c r="T21" s="15">
        <v>393979</v>
      </c>
      <c r="U21" s="15">
        <v>416025</v>
      </c>
      <c r="V21" s="15">
        <v>431839</v>
      </c>
      <c r="W21" s="15">
        <v>454685</v>
      </c>
      <c r="X21" s="15">
        <v>479670</v>
      </c>
      <c r="Y21" s="15">
        <v>508742</v>
      </c>
      <c r="Z21" s="15">
        <v>524885</v>
      </c>
      <c r="AA21" s="15">
        <v>508825</v>
      </c>
      <c r="AB21" s="15">
        <v>523286</v>
      </c>
      <c r="AC21" s="15">
        <v>554270</v>
      </c>
      <c r="AD21" s="15">
        <v>563149</v>
      </c>
      <c r="AE21" s="15">
        <v>573743</v>
      </c>
      <c r="AF21" s="15">
        <v>528965</v>
      </c>
      <c r="AG21" s="15">
        <v>498556</v>
      </c>
      <c r="AH21" s="15">
        <v>484102</v>
      </c>
      <c r="AI21" s="15">
        <v>490251</v>
      </c>
      <c r="AJ21" s="15">
        <v>502262</v>
      </c>
      <c r="AK21" s="15">
        <v>500345</v>
      </c>
      <c r="AL21" s="15">
        <v>512622</v>
      </c>
      <c r="AM21" s="15">
        <v>550456</v>
      </c>
      <c r="AN21" s="15">
        <v>574907</v>
      </c>
      <c r="AO21" s="15">
        <v>623194</v>
      </c>
      <c r="AP21" s="15">
        <v>577162</v>
      </c>
      <c r="AQ21" s="15">
        <v>577864</v>
      </c>
      <c r="AR21" s="16">
        <v>574024</v>
      </c>
      <c r="AS21" s="17">
        <v>585045</v>
      </c>
      <c r="AT21" s="17">
        <v>599454</v>
      </c>
      <c r="AU21" s="18">
        <v>604773</v>
      </c>
      <c r="AV21" s="18">
        <v>590935</v>
      </c>
      <c r="AW21" s="20">
        <v>619194</v>
      </c>
      <c r="AX21" s="20">
        <v>662260</v>
      </c>
      <c r="AY21" s="18">
        <v>636021</v>
      </c>
      <c r="AZ21" s="20">
        <v>678530</v>
      </c>
      <c r="BA21" s="18">
        <v>681120.929</v>
      </c>
      <c r="BB21" s="18">
        <v>590093</v>
      </c>
      <c r="BC21" s="18">
        <v>699017</v>
      </c>
      <c r="BD21" s="18">
        <v>760776</v>
      </c>
      <c r="BE21" s="21">
        <v>701165</v>
      </c>
      <c r="BF21" s="21">
        <v>706051</v>
      </c>
      <c r="BG21" s="21">
        <v>682564</v>
      </c>
      <c r="BH21" s="21">
        <v>670761</v>
      </c>
      <c r="BI21" s="22">
        <v>637206</v>
      </c>
      <c r="BJ21" s="21">
        <v>646536</v>
      </c>
      <c r="BK21" s="18">
        <v>654826</v>
      </c>
      <c r="BL21" s="23">
        <v>654010</v>
      </c>
      <c r="BM21" s="23">
        <v>632819</v>
      </c>
      <c r="BN21" s="23">
        <v>715904</v>
      </c>
      <c r="BO21" s="23">
        <v>771730</v>
      </c>
      <c r="BP21" s="23">
        <v>721666</v>
      </c>
      <c r="BQ21" s="23">
        <v>742407</v>
      </c>
      <c r="BR21" s="23">
        <v>597724</v>
      </c>
      <c r="BS21" s="54">
        <v>593253</v>
      </c>
      <c r="BT21" s="54">
        <v>593253</v>
      </c>
      <c r="BU21" s="54">
        <v>535245</v>
      </c>
      <c r="BV21" s="54">
        <v>599699</v>
      </c>
    </row>
    <row r="22" spans="1:74" ht="8.9" customHeight="1">
      <c r="A22" s="32" t="s">
        <v>20</v>
      </c>
      <c r="B22" s="33">
        <v>437272</v>
      </c>
      <c r="C22" s="33">
        <v>489858</v>
      </c>
      <c r="D22" s="33">
        <v>536459</v>
      </c>
      <c r="E22" s="33">
        <v>589561</v>
      </c>
      <c r="F22" s="33">
        <v>622119</v>
      </c>
      <c r="G22" s="33">
        <v>653858</v>
      </c>
      <c r="H22" s="33">
        <v>706442</v>
      </c>
      <c r="I22" s="33">
        <v>773901</v>
      </c>
      <c r="J22" s="33">
        <v>776665</v>
      </c>
      <c r="K22" s="33">
        <v>802126</v>
      </c>
      <c r="L22" s="33">
        <v>850761</v>
      </c>
      <c r="M22" s="33">
        <v>880360</v>
      </c>
      <c r="N22" s="33">
        <v>904244</v>
      </c>
      <c r="O22" s="33">
        <v>963230</v>
      </c>
      <c r="P22" s="33">
        <v>1024279</v>
      </c>
      <c r="Q22" s="33">
        <v>1081237</v>
      </c>
      <c r="R22" s="33">
        <v>1129405</v>
      </c>
      <c r="S22" s="33">
        <v>1202026</v>
      </c>
      <c r="T22" s="33">
        <v>1260557</v>
      </c>
      <c r="U22" s="33">
        <v>1348839</v>
      </c>
      <c r="V22" s="33">
        <v>1448438</v>
      </c>
      <c r="W22" s="33">
        <v>1545748</v>
      </c>
      <c r="X22" s="33">
        <v>1634180</v>
      </c>
      <c r="Y22" s="33">
        <v>1752535</v>
      </c>
      <c r="Z22" s="33">
        <v>1809456</v>
      </c>
      <c r="AA22" s="33">
        <v>1748537</v>
      </c>
      <c r="AB22" s="33">
        <v>1811816</v>
      </c>
      <c r="AC22" s="33">
        <v>1908460</v>
      </c>
      <c r="AD22" s="33">
        <v>1972120</v>
      </c>
      <c r="AE22" s="33">
        <v>2021653</v>
      </c>
      <c r="AF22" s="33">
        <v>1906179</v>
      </c>
      <c r="AG22" s="33">
        <v>1879557</v>
      </c>
      <c r="AH22" s="33">
        <v>1868157</v>
      </c>
      <c r="AI22" s="33">
        <v>1849402</v>
      </c>
      <c r="AJ22" s="33">
        <v>1855244</v>
      </c>
      <c r="AK22" s="33">
        <v>1906998</v>
      </c>
      <c r="AL22" s="33">
        <v>1905076</v>
      </c>
      <c r="AM22" s="33">
        <v>1958437</v>
      </c>
      <c r="AN22" s="33">
        <v>1995427</v>
      </c>
      <c r="AO22" s="33">
        <v>2013918</v>
      </c>
      <c r="AP22" s="33">
        <v>2052808</v>
      </c>
      <c r="AQ22" s="33">
        <v>1965028</v>
      </c>
      <c r="AR22" s="36">
        <v>1987938</v>
      </c>
      <c r="AS22" s="37">
        <v>2047839</v>
      </c>
      <c r="AT22" s="37">
        <v>2081787</v>
      </c>
      <c r="AU22" s="38">
        <v>2131215</v>
      </c>
      <c r="AV22" s="38">
        <v>2135881</v>
      </c>
      <c r="AW22" s="19">
        <v>2160380</v>
      </c>
      <c r="AX22" s="19">
        <v>2235236</v>
      </c>
      <c r="AY22" s="38">
        <v>2279763</v>
      </c>
      <c r="AZ22" s="19">
        <v>2396097</v>
      </c>
      <c r="BA22" s="38">
        <v>2388291.96</v>
      </c>
      <c r="BB22" s="38">
        <v>2460545</v>
      </c>
      <c r="BC22" s="38">
        <v>2504827</v>
      </c>
      <c r="BD22" s="38">
        <v>2574037</v>
      </c>
      <c r="BE22" s="39">
        <v>2624148</v>
      </c>
      <c r="BF22" s="39">
        <v>2630530</v>
      </c>
      <c r="BG22" s="39">
        <v>2642371</v>
      </c>
      <c r="BH22" s="39">
        <v>2658984</v>
      </c>
      <c r="BI22" s="40">
        <v>2627293</v>
      </c>
      <c r="BJ22" s="39">
        <v>2813359</v>
      </c>
      <c r="BK22" s="38">
        <v>2621571</v>
      </c>
      <c r="BL22" s="41">
        <v>2602742</v>
      </c>
      <c r="BM22" s="41">
        <v>2657326</v>
      </c>
      <c r="BN22" s="41">
        <v>2744629</v>
      </c>
      <c r="BO22" s="41">
        <v>2715452</v>
      </c>
      <c r="BP22" s="41">
        <v>2711766</v>
      </c>
      <c r="BQ22" s="41">
        <v>2630070</v>
      </c>
      <c r="BR22" s="41">
        <v>2599399</v>
      </c>
      <c r="BS22" s="52">
        <v>2587123</v>
      </c>
      <c r="BT22" s="52">
        <v>2602302</v>
      </c>
      <c r="BU22" s="52">
        <v>2054135</v>
      </c>
      <c r="BV22" s="52">
        <v>2364826</v>
      </c>
    </row>
    <row r="23" spans="1:74" ht="8.9" customHeight="1">
      <c r="A23" s="14" t="s">
        <v>84</v>
      </c>
      <c r="B23" s="15">
        <v>860588</v>
      </c>
      <c r="C23" s="15">
        <v>935007</v>
      </c>
      <c r="D23" s="15">
        <v>972441</v>
      </c>
      <c r="E23" s="15">
        <v>1006073</v>
      </c>
      <c r="F23" s="15">
        <v>1029729</v>
      </c>
      <c r="G23" s="15">
        <v>1083141</v>
      </c>
      <c r="H23" s="15">
        <v>1169481</v>
      </c>
      <c r="I23" s="15">
        <v>1219236</v>
      </c>
      <c r="J23" s="15">
        <v>1262378</v>
      </c>
      <c r="K23" s="15">
        <v>1292428</v>
      </c>
      <c r="L23" s="15">
        <v>1371160</v>
      </c>
      <c r="M23" s="15">
        <v>1408155</v>
      </c>
      <c r="N23" s="15">
        <v>1458712</v>
      </c>
      <c r="O23" s="15">
        <v>1495475</v>
      </c>
      <c r="P23" s="15">
        <v>1542978</v>
      </c>
      <c r="Q23" s="15">
        <v>1602613</v>
      </c>
      <c r="R23" s="15">
        <v>1657416</v>
      </c>
      <c r="S23" s="15">
        <v>1709910</v>
      </c>
      <c r="T23" s="15">
        <v>1763767</v>
      </c>
      <c r="U23" s="15">
        <v>1872033</v>
      </c>
      <c r="V23" s="15">
        <v>1948581</v>
      </c>
      <c r="W23" s="15">
        <v>2071772</v>
      </c>
      <c r="X23" s="15">
        <v>2144951</v>
      </c>
      <c r="Y23" s="15">
        <v>2276622</v>
      </c>
      <c r="Z23" s="15">
        <v>2352302</v>
      </c>
      <c r="AA23" s="15">
        <v>2246586</v>
      </c>
      <c r="AB23" s="15">
        <v>2279427</v>
      </c>
      <c r="AC23" s="15">
        <v>2365167</v>
      </c>
      <c r="AD23" s="15">
        <v>2393563</v>
      </c>
      <c r="AE23" s="15">
        <v>2427899</v>
      </c>
      <c r="AF23" s="15">
        <v>2376382</v>
      </c>
      <c r="AG23" s="15">
        <v>2198475</v>
      </c>
      <c r="AH23" s="15">
        <v>2192962</v>
      </c>
      <c r="AI23" s="15">
        <v>2173346</v>
      </c>
      <c r="AJ23" s="15">
        <v>2207577</v>
      </c>
      <c r="AK23" s="15">
        <v>2272621</v>
      </c>
      <c r="AL23" s="15">
        <v>2300155</v>
      </c>
      <c r="AM23" s="15">
        <v>2365748</v>
      </c>
      <c r="AN23" s="15">
        <v>2396437</v>
      </c>
      <c r="AO23" s="15">
        <v>2448033</v>
      </c>
      <c r="AP23" s="15">
        <v>2419503</v>
      </c>
      <c r="AQ23" s="15">
        <v>2338682</v>
      </c>
      <c r="AR23" s="16">
        <v>2255600</v>
      </c>
      <c r="AS23" s="17">
        <v>2337839</v>
      </c>
      <c r="AT23" s="17">
        <v>2359325</v>
      </c>
      <c r="AU23" s="18">
        <v>2389647</v>
      </c>
      <c r="AV23" s="18">
        <v>2440893</v>
      </c>
      <c r="AW23" s="20">
        <v>2497197</v>
      </c>
      <c r="AX23" s="20">
        <v>2544658</v>
      </c>
      <c r="AY23" s="18">
        <v>2603659</v>
      </c>
      <c r="AZ23" s="20">
        <v>2671177</v>
      </c>
      <c r="BA23" s="18">
        <v>2713912.9709999999</v>
      </c>
      <c r="BB23" s="18">
        <v>2720510</v>
      </c>
      <c r="BC23" s="18">
        <v>2785618</v>
      </c>
      <c r="BD23" s="18">
        <v>2791807</v>
      </c>
      <c r="BE23" s="21">
        <v>2824694</v>
      </c>
      <c r="BF23" s="21">
        <v>2782254</v>
      </c>
      <c r="BG23" s="21">
        <v>2763761</v>
      </c>
      <c r="BH23" s="21">
        <v>2854058</v>
      </c>
      <c r="BI23" s="22">
        <v>2758187</v>
      </c>
      <c r="BJ23" s="21">
        <v>2711893</v>
      </c>
      <c r="BK23" s="18">
        <v>2733501</v>
      </c>
      <c r="BL23" s="23">
        <v>2725178</v>
      </c>
      <c r="BM23" s="23">
        <v>2726824</v>
      </c>
      <c r="BN23" s="23">
        <v>2682202</v>
      </c>
      <c r="BO23" s="23">
        <v>2707913</v>
      </c>
      <c r="BP23" s="23">
        <v>2669169</v>
      </c>
      <c r="BQ23" s="23">
        <v>2715141</v>
      </c>
      <c r="BR23" s="23">
        <v>2666514</v>
      </c>
      <c r="BS23" s="53">
        <v>2685219</v>
      </c>
      <c r="BT23" s="53">
        <v>2658600</v>
      </c>
      <c r="BU23" s="53">
        <v>2109170</v>
      </c>
      <c r="BV23" s="53">
        <v>2378583</v>
      </c>
    </row>
    <row r="24" spans="1:74" ht="8.9" customHeight="1">
      <c r="A24" s="14" t="s">
        <v>21</v>
      </c>
      <c r="B24" s="15">
        <v>1520587</v>
      </c>
      <c r="C24" s="15">
        <v>1662281</v>
      </c>
      <c r="D24" s="15">
        <v>1749915</v>
      </c>
      <c r="E24" s="15">
        <v>1817349</v>
      </c>
      <c r="F24" s="15">
        <v>1991260</v>
      </c>
      <c r="G24" s="15">
        <v>2043416</v>
      </c>
      <c r="H24" s="15">
        <v>2216719</v>
      </c>
      <c r="I24" s="15">
        <v>2248517</v>
      </c>
      <c r="J24" s="15">
        <v>2323995</v>
      </c>
      <c r="K24" s="15">
        <v>2337771</v>
      </c>
      <c r="L24" s="15">
        <v>2428180</v>
      </c>
      <c r="M24" s="15">
        <v>2516577</v>
      </c>
      <c r="N24" s="15">
        <v>2528802</v>
      </c>
      <c r="O24" s="15">
        <v>2610147</v>
      </c>
      <c r="P24" s="15">
        <v>2790221</v>
      </c>
      <c r="Q24" s="15">
        <v>2968684</v>
      </c>
      <c r="R24" s="15">
        <v>3129455</v>
      </c>
      <c r="S24" s="15">
        <v>3292382</v>
      </c>
      <c r="T24" s="15">
        <v>3384062</v>
      </c>
      <c r="U24" s="15">
        <v>3633835</v>
      </c>
      <c r="V24" s="15">
        <v>3843017</v>
      </c>
      <c r="W24" s="15">
        <v>3907313</v>
      </c>
      <c r="X24" s="15">
        <v>4062973</v>
      </c>
      <c r="Y24" s="15">
        <v>4337556</v>
      </c>
      <c r="Z24" s="15">
        <v>4523949</v>
      </c>
      <c r="AA24" s="15">
        <v>4323852</v>
      </c>
      <c r="AB24" s="15">
        <v>4386506</v>
      </c>
      <c r="AC24" s="15">
        <v>4639871</v>
      </c>
      <c r="AD24" s="15">
        <v>4710150</v>
      </c>
      <c r="AE24" s="15">
        <v>4852530</v>
      </c>
      <c r="AF24" s="15">
        <v>4570590</v>
      </c>
      <c r="AG24" s="15">
        <v>4090039</v>
      </c>
      <c r="AH24" s="15">
        <v>3850517</v>
      </c>
      <c r="AI24" s="15">
        <v>3629611</v>
      </c>
      <c r="AJ24" s="15">
        <v>3678926</v>
      </c>
      <c r="AK24" s="15">
        <v>3807113</v>
      </c>
      <c r="AL24" s="15">
        <v>3886529</v>
      </c>
      <c r="AM24" s="15">
        <v>3996145</v>
      </c>
      <c r="AN24" s="15">
        <v>4095153</v>
      </c>
      <c r="AO24" s="15">
        <v>4196648</v>
      </c>
      <c r="AP24" s="15">
        <v>4186173</v>
      </c>
      <c r="AQ24" s="15">
        <v>4144034</v>
      </c>
      <c r="AR24" s="16">
        <v>4165798</v>
      </c>
      <c r="AS24" s="17">
        <v>4233698</v>
      </c>
      <c r="AT24" s="17">
        <v>4377870</v>
      </c>
      <c r="AU24" s="18">
        <v>4382988</v>
      </c>
      <c r="AV24" s="18">
        <v>4545737</v>
      </c>
      <c r="AW24" s="20">
        <v>4565162</v>
      </c>
      <c r="AX24" s="20">
        <v>4653028</v>
      </c>
      <c r="AY24" s="18">
        <v>4811212</v>
      </c>
      <c r="AZ24" s="20">
        <v>5056773</v>
      </c>
      <c r="BA24" s="18">
        <v>4905203.6390000004</v>
      </c>
      <c r="BB24" s="18">
        <v>4904689</v>
      </c>
      <c r="BC24" s="18">
        <v>4997313</v>
      </c>
      <c r="BD24" s="18">
        <v>4901953</v>
      </c>
      <c r="BE24" s="21">
        <v>4858390</v>
      </c>
      <c r="BF24" s="21">
        <v>4814731</v>
      </c>
      <c r="BG24" s="21">
        <v>4698481</v>
      </c>
      <c r="BH24" s="21">
        <v>4607576</v>
      </c>
      <c r="BI24" s="22">
        <v>4453565</v>
      </c>
      <c r="BJ24" s="21">
        <v>4437325</v>
      </c>
      <c r="BK24" s="18">
        <v>4426295</v>
      </c>
      <c r="BL24" s="23">
        <v>4358852</v>
      </c>
      <c r="BM24" s="23">
        <v>4350116</v>
      </c>
      <c r="BN24" s="23">
        <v>4455916</v>
      </c>
      <c r="BO24" s="23">
        <v>4448249</v>
      </c>
      <c r="BP24" s="23">
        <v>4352982</v>
      </c>
      <c r="BQ24" s="23">
        <v>4449726</v>
      </c>
      <c r="BR24" s="23">
        <v>4396083</v>
      </c>
      <c r="BS24" s="53">
        <v>4412120</v>
      </c>
      <c r="BT24" s="53">
        <v>4381530</v>
      </c>
      <c r="BU24" s="53">
        <v>3705704</v>
      </c>
      <c r="BV24" s="53">
        <v>4057935</v>
      </c>
    </row>
    <row r="25" spans="1:74" ht="8.9" customHeight="1">
      <c r="A25" s="34" t="s">
        <v>22</v>
      </c>
      <c r="B25" s="35">
        <v>691671</v>
      </c>
      <c r="C25" s="35">
        <v>719462</v>
      </c>
      <c r="D25" s="35">
        <v>741865</v>
      </c>
      <c r="E25" s="35">
        <v>797088</v>
      </c>
      <c r="F25" s="35">
        <v>827954</v>
      </c>
      <c r="G25" s="35">
        <v>877494</v>
      </c>
      <c r="H25" s="35">
        <v>929369</v>
      </c>
      <c r="I25" s="35">
        <v>971483</v>
      </c>
      <c r="J25" s="35">
        <v>1021248</v>
      </c>
      <c r="K25" s="35">
        <v>1075445</v>
      </c>
      <c r="L25" s="35">
        <v>1091382</v>
      </c>
      <c r="M25" s="35">
        <v>1143846</v>
      </c>
      <c r="N25" s="35">
        <v>1132852</v>
      </c>
      <c r="O25" s="35">
        <v>1177099</v>
      </c>
      <c r="P25" s="35">
        <v>1229956</v>
      </c>
      <c r="Q25" s="35">
        <v>1256096</v>
      </c>
      <c r="R25" s="35">
        <v>1309257</v>
      </c>
      <c r="S25" s="35">
        <v>1376972</v>
      </c>
      <c r="T25" s="35">
        <v>1428961</v>
      </c>
      <c r="U25" s="35">
        <v>1510694</v>
      </c>
      <c r="V25" s="35">
        <v>1605810</v>
      </c>
      <c r="W25" s="35">
        <v>1686418</v>
      </c>
      <c r="X25" s="35">
        <v>1786946</v>
      </c>
      <c r="Y25" s="35">
        <v>1863856</v>
      </c>
      <c r="Z25" s="35">
        <v>1944833</v>
      </c>
      <c r="AA25" s="35">
        <v>1851312</v>
      </c>
      <c r="AB25" s="35">
        <v>1868092</v>
      </c>
      <c r="AC25" s="35">
        <v>1939399</v>
      </c>
      <c r="AD25" s="35">
        <v>2006262</v>
      </c>
      <c r="AE25" s="35">
        <v>2097686</v>
      </c>
      <c r="AF25" s="35">
        <v>2039853</v>
      </c>
      <c r="AG25" s="35">
        <v>1904979</v>
      </c>
      <c r="AH25" s="35">
        <v>1836412</v>
      </c>
      <c r="AI25" s="35">
        <v>1750093</v>
      </c>
      <c r="AJ25" s="35">
        <v>1847478</v>
      </c>
      <c r="AK25" s="35">
        <v>1880174</v>
      </c>
      <c r="AL25" s="35">
        <v>1806166</v>
      </c>
      <c r="AM25" s="35">
        <v>1832217</v>
      </c>
      <c r="AN25" s="35">
        <v>1875488</v>
      </c>
      <c r="AO25" s="35">
        <v>1943068</v>
      </c>
      <c r="AP25" s="35">
        <v>1954397</v>
      </c>
      <c r="AQ25" s="35">
        <v>1872567</v>
      </c>
      <c r="AR25" s="42">
        <v>1921780</v>
      </c>
      <c r="AS25" s="43">
        <v>2011658</v>
      </c>
      <c r="AT25" s="43">
        <v>2102346</v>
      </c>
      <c r="AU25" s="44">
        <v>2154389</v>
      </c>
      <c r="AV25" s="44">
        <v>2201483</v>
      </c>
      <c r="AW25" s="45">
        <v>2260715</v>
      </c>
      <c r="AX25" s="45">
        <v>2208563</v>
      </c>
      <c r="AY25" s="44">
        <v>2333638</v>
      </c>
      <c r="AZ25" s="45">
        <v>2473838</v>
      </c>
      <c r="BA25" s="44">
        <v>2515069.2200000002</v>
      </c>
      <c r="BB25" s="44">
        <v>2545530</v>
      </c>
      <c r="BC25" s="44">
        <v>2587209</v>
      </c>
      <c r="BD25" s="44">
        <v>2616219</v>
      </c>
      <c r="BE25" s="46">
        <v>2644097</v>
      </c>
      <c r="BF25" s="46">
        <v>2596846</v>
      </c>
      <c r="BG25" s="46">
        <v>2504236</v>
      </c>
      <c r="BH25" s="46">
        <v>2516616</v>
      </c>
      <c r="BI25" s="47">
        <v>2505583</v>
      </c>
      <c r="BJ25" s="46">
        <v>2434507</v>
      </c>
      <c r="BK25" s="44">
        <v>2452821</v>
      </c>
      <c r="BL25" s="48">
        <v>2360340</v>
      </c>
      <c r="BM25" s="48">
        <v>2429561</v>
      </c>
      <c r="BN25" s="48">
        <v>2389435</v>
      </c>
      <c r="BO25" s="48">
        <v>2481959</v>
      </c>
      <c r="BP25" s="48">
        <v>2323199</v>
      </c>
      <c r="BQ25" s="48">
        <v>2456967</v>
      </c>
      <c r="BR25" s="48">
        <v>2459991</v>
      </c>
      <c r="BS25" s="54">
        <v>2401845</v>
      </c>
      <c r="BT25" s="54">
        <v>2411151</v>
      </c>
      <c r="BU25" s="54">
        <v>2069451</v>
      </c>
      <c r="BV25" s="54">
        <v>2195047</v>
      </c>
    </row>
    <row r="26" spans="1:74" ht="9.25" customHeight="1">
      <c r="A26" s="14" t="s">
        <v>23</v>
      </c>
      <c r="B26" s="15">
        <v>367383</v>
      </c>
      <c r="C26" s="15">
        <v>401226</v>
      </c>
      <c r="D26" s="15">
        <v>436209</v>
      </c>
      <c r="E26" s="15">
        <v>459045</v>
      </c>
      <c r="F26" s="15">
        <v>479379</v>
      </c>
      <c r="G26" s="15">
        <v>497408</v>
      </c>
      <c r="H26" s="15">
        <v>526867</v>
      </c>
      <c r="I26" s="15">
        <v>551705</v>
      </c>
      <c r="J26" s="15">
        <v>557658</v>
      </c>
      <c r="K26" s="15">
        <v>578057</v>
      </c>
      <c r="L26" s="15">
        <v>615426</v>
      </c>
      <c r="M26" s="15">
        <v>620093</v>
      </c>
      <c r="N26" s="15">
        <v>631360</v>
      </c>
      <c r="O26" s="15">
        <v>658164</v>
      </c>
      <c r="P26" s="15">
        <v>691164</v>
      </c>
      <c r="Q26" s="15">
        <v>723161</v>
      </c>
      <c r="R26" s="15">
        <v>749838</v>
      </c>
      <c r="S26" s="15">
        <v>797539</v>
      </c>
      <c r="T26" s="15">
        <v>840206</v>
      </c>
      <c r="U26" s="15">
        <v>892709</v>
      </c>
      <c r="V26" s="15">
        <v>957084</v>
      </c>
      <c r="W26" s="15">
        <v>1002860</v>
      </c>
      <c r="X26" s="15">
        <v>1055970</v>
      </c>
      <c r="Y26" s="15">
        <v>1156143</v>
      </c>
      <c r="Z26" s="15">
        <v>1181449</v>
      </c>
      <c r="AA26" s="15">
        <v>1155579</v>
      </c>
      <c r="AB26" s="15">
        <v>1148946</v>
      </c>
      <c r="AC26" s="15">
        <v>1205046</v>
      </c>
      <c r="AD26" s="15">
        <v>1275276</v>
      </c>
      <c r="AE26" s="15">
        <v>1290919</v>
      </c>
      <c r="AF26" s="15">
        <v>1253194</v>
      </c>
      <c r="AG26" s="15">
        <v>1139396</v>
      </c>
      <c r="AH26" s="15">
        <v>1158966</v>
      </c>
      <c r="AI26" s="15">
        <v>1103696</v>
      </c>
      <c r="AJ26" s="15">
        <v>1115722</v>
      </c>
      <c r="AK26" s="15">
        <v>1108644</v>
      </c>
      <c r="AL26" s="15">
        <v>1134935</v>
      </c>
      <c r="AM26" s="15">
        <v>1177634</v>
      </c>
      <c r="AN26" s="15">
        <v>1200225</v>
      </c>
      <c r="AO26" s="15">
        <v>1196587</v>
      </c>
      <c r="AP26" s="15">
        <v>1191665</v>
      </c>
      <c r="AQ26" s="15">
        <v>1196522</v>
      </c>
      <c r="AR26" s="16">
        <v>1212459</v>
      </c>
      <c r="AS26" s="17">
        <v>1259490</v>
      </c>
      <c r="AT26" s="17">
        <v>1326952</v>
      </c>
      <c r="AU26" s="18">
        <v>1363948</v>
      </c>
      <c r="AV26" s="18">
        <v>1395512</v>
      </c>
      <c r="AW26" s="20">
        <v>1408108</v>
      </c>
      <c r="AX26" s="20">
        <v>1457026</v>
      </c>
      <c r="AY26" s="18">
        <v>1517140</v>
      </c>
      <c r="AZ26" s="20">
        <v>1583622</v>
      </c>
      <c r="BA26" s="18">
        <v>1520581.1510000003</v>
      </c>
      <c r="BB26" s="18">
        <v>1476477</v>
      </c>
      <c r="BC26" s="18">
        <v>1536524</v>
      </c>
      <c r="BD26" s="18">
        <v>1576334</v>
      </c>
      <c r="BE26" s="21">
        <v>1579362</v>
      </c>
      <c r="BF26" s="21">
        <v>1576357</v>
      </c>
      <c r="BG26" s="21">
        <v>1573695</v>
      </c>
      <c r="BH26" s="21">
        <v>1623676</v>
      </c>
      <c r="BI26" s="22">
        <v>1606971</v>
      </c>
      <c r="BJ26" s="21">
        <v>1538743</v>
      </c>
      <c r="BK26" s="18">
        <v>1607584</v>
      </c>
      <c r="BL26" s="23">
        <v>1554825</v>
      </c>
      <c r="BM26" s="23">
        <v>1598659</v>
      </c>
      <c r="BN26" s="23">
        <v>1564996</v>
      </c>
      <c r="BO26" s="23">
        <v>1686715</v>
      </c>
      <c r="BP26" s="23">
        <v>1607148</v>
      </c>
      <c r="BQ26" s="23">
        <v>1681282</v>
      </c>
      <c r="BR26" s="23">
        <v>1641711</v>
      </c>
      <c r="BS26" s="53">
        <v>1595322</v>
      </c>
      <c r="BT26" s="53">
        <v>1668608</v>
      </c>
      <c r="BU26" s="53">
        <v>1563457</v>
      </c>
      <c r="BV26" s="53">
        <v>1658342</v>
      </c>
    </row>
    <row r="27" spans="1:74" ht="8.9" customHeight="1">
      <c r="A27" s="14" t="s">
        <v>24</v>
      </c>
      <c r="B27" s="15">
        <v>945900</v>
      </c>
      <c r="C27" s="15">
        <v>1059645</v>
      </c>
      <c r="D27" s="15">
        <v>1129392</v>
      </c>
      <c r="E27" s="15">
        <v>1197712</v>
      </c>
      <c r="F27" s="15">
        <v>1219253</v>
      </c>
      <c r="G27" s="15">
        <v>1279265</v>
      </c>
      <c r="H27" s="15">
        <v>1340857</v>
      </c>
      <c r="I27" s="15">
        <v>1380414</v>
      </c>
      <c r="J27" s="15">
        <v>1401635</v>
      </c>
      <c r="K27" s="15">
        <v>1438101</v>
      </c>
      <c r="L27" s="15">
        <v>1494007</v>
      </c>
      <c r="M27" s="15">
        <v>1526493</v>
      </c>
      <c r="N27" s="15">
        <v>1541923</v>
      </c>
      <c r="O27" s="15">
        <v>1574474</v>
      </c>
      <c r="P27" s="15">
        <v>1630742</v>
      </c>
      <c r="Q27" s="15">
        <v>1703345</v>
      </c>
      <c r="R27" s="15">
        <v>1750443</v>
      </c>
      <c r="S27" s="15">
        <v>1815038</v>
      </c>
      <c r="T27" s="15">
        <v>1875324</v>
      </c>
      <c r="U27" s="15">
        <v>1998304</v>
      </c>
      <c r="V27" s="15">
        <v>2113760</v>
      </c>
      <c r="W27" s="15">
        <v>2227939</v>
      </c>
      <c r="X27" s="15">
        <v>2360427</v>
      </c>
      <c r="Y27" s="15">
        <v>2490077</v>
      </c>
      <c r="Z27" s="15">
        <v>2492880</v>
      </c>
      <c r="AA27" s="15">
        <v>2431891</v>
      </c>
      <c r="AB27" s="15">
        <v>2486080</v>
      </c>
      <c r="AC27" s="15">
        <v>2629283</v>
      </c>
      <c r="AD27" s="15">
        <v>2700840</v>
      </c>
      <c r="AE27" s="15">
        <v>2779215</v>
      </c>
      <c r="AF27" s="15">
        <v>2633692</v>
      </c>
      <c r="AG27" s="15">
        <v>2437689</v>
      </c>
      <c r="AH27" s="15">
        <v>2398084</v>
      </c>
      <c r="AI27" s="15">
        <v>2368597</v>
      </c>
      <c r="AJ27" s="15">
        <v>2424622</v>
      </c>
      <c r="AK27" s="15">
        <v>2461910</v>
      </c>
      <c r="AL27" s="15">
        <v>2498168</v>
      </c>
      <c r="AM27" s="15">
        <v>2649857</v>
      </c>
      <c r="AN27" s="15">
        <v>2645297</v>
      </c>
      <c r="AO27" s="15">
        <v>2675651</v>
      </c>
      <c r="AP27" s="15">
        <v>2658835</v>
      </c>
      <c r="AQ27" s="15">
        <v>2684647</v>
      </c>
      <c r="AR27" s="16">
        <v>2659320</v>
      </c>
      <c r="AS27" s="17">
        <v>2753904</v>
      </c>
      <c r="AT27" s="17">
        <v>2726870</v>
      </c>
      <c r="AU27" s="18">
        <v>2785108</v>
      </c>
      <c r="AV27" s="18">
        <v>2804990</v>
      </c>
      <c r="AW27" s="20">
        <v>2862072</v>
      </c>
      <c r="AX27" s="20">
        <v>2888067</v>
      </c>
      <c r="AY27" s="18">
        <v>2961165</v>
      </c>
      <c r="AZ27" s="20">
        <v>2957977</v>
      </c>
      <c r="BA27" s="18">
        <v>3056280.3959999997</v>
      </c>
      <c r="BB27" s="18">
        <v>2958880</v>
      </c>
      <c r="BC27" s="18">
        <v>3007814</v>
      </c>
      <c r="BD27" s="18">
        <v>3145591</v>
      </c>
      <c r="BE27" s="21">
        <v>3127336</v>
      </c>
      <c r="BF27" s="21">
        <v>3083921</v>
      </c>
      <c r="BG27" s="21">
        <v>3057674</v>
      </c>
      <c r="BH27" s="21">
        <v>3122420</v>
      </c>
      <c r="BI27" s="22">
        <v>3133624</v>
      </c>
      <c r="BJ27" s="21">
        <v>3123611</v>
      </c>
      <c r="BK27" s="18">
        <v>3140943</v>
      </c>
      <c r="BL27" s="23">
        <v>3047982</v>
      </c>
      <c r="BM27" s="23">
        <v>3011447</v>
      </c>
      <c r="BN27" s="23">
        <v>2993312</v>
      </c>
      <c r="BO27" s="23">
        <v>3126234</v>
      </c>
      <c r="BP27" s="23">
        <v>2954269</v>
      </c>
      <c r="BQ27" s="23">
        <v>3069337</v>
      </c>
      <c r="BR27" s="23">
        <v>3034445</v>
      </c>
      <c r="BS27" s="53">
        <v>3000963</v>
      </c>
      <c r="BT27" s="53">
        <v>2993792</v>
      </c>
      <c r="BU27" s="53">
        <v>2760594</v>
      </c>
      <c r="BV27" s="53">
        <v>3000824</v>
      </c>
    </row>
    <row r="28" spans="1:74" ht="8.9" customHeight="1">
      <c r="A28" s="14" t="s">
        <v>25</v>
      </c>
      <c r="B28" s="15">
        <v>158429</v>
      </c>
      <c r="C28" s="15">
        <v>169162</v>
      </c>
      <c r="D28" s="15">
        <v>185221</v>
      </c>
      <c r="E28" s="15">
        <v>188254</v>
      </c>
      <c r="F28" s="15">
        <v>215163</v>
      </c>
      <c r="G28" s="15">
        <v>204579</v>
      </c>
      <c r="H28" s="15">
        <v>211973</v>
      </c>
      <c r="I28" s="15">
        <v>233910</v>
      </c>
      <c r="J28" s="15">
        <v>222648</v>
      </c>
      <c r="K28" s="15">
        <v>239541</v>
      </c>
      <c r="L28" s="15">
        <v>239150</v>
      </c>
      <c r="M28" s="15">
        <v>242430</v>
      </c>
      <c r="N28" s="15">
        <v>240490</v>
      </c>
      <c r="O28" s="15">
        <v>274043</v>
      </c>
      <c r="P28" s="15">
        <v>267671</v>
      </c>
      <c r="Q28" s="15">
        <v>273144</v>
      </c>
      <c r="R28" s="15">
        <v>280705</v>
      </c>
      <c r="S28" s="15">
        <v>296659</v>
      </c>
      <c r="T28" s="15">
        <v>300192</v>
      </c>
      <c r="U28" s="15">
        <v>321429</v>
      </c>
      <c r="V28" s="15">
        <v>342954</v>
      </c>
      <c r="W28" s="15">
        <v>352654</v>
      </c>
      <c r="X28" s="15">
        <v>372174</v>
      </c>
      <c r="Y28" s="15">
        <v>394482</v>
      </c>
      <c r="Z28" s="15">
        <v>432272</v>
      </c>
      <c r="AA28" s="15">
        <v>412004</v>
      </c>
      <c r="AB28" s="15">
        <v>404957</v>
      </c>
      <c r="AC28" s="15">
        <v>449092</v>
      </c>
      <c r="AD28" s="15">
        <v>431617</v>
      </c>
      <c r="AE28" s="15">
        <v>511119</v>
      </c>
      <c r="AF28" s="15">
        <v>443580</v>
      </c>
      <c r="AG28" s="15">
        <v>416511</v>
      </c>
      <c r="AH28" s="15">
        <v>423759</v>
      </c>
      <c r="AI28" s="15">
        <v>406462</v>
      </c>
      <c r="AJ28" s="15">
        <v>418919</v>
      </c>
      <c r="AK28" s="15">
        <v>416324</v>
      </c>
      <c r="AL28" s="15">
        <v>403929</v>
      </c>
      <c r="AM28" s="15">
        <v>404386</v>
      </c>
      <c r="AN28" s="15">
        <v>407673</v>
      </c>
      <c r="AO28" s="15">
        <v>412126</v>
      </c>
      <c r="AP28" s="15">
        <v>408306</v>
      </c>
      <c r="AQ28" s="15">
        <v>410718</v>
      </c>
      <c r="AR28" s="16">
        <v>409896</v>
      </c>
      <c r="AS28" s="17">
        <v>432413</v>
      </c>
      <c r="AT28" s="17">
        <v>441553</v>
      </c>
      <c r="AU28" s="18">
        <v>444618</v>
      </c>
      <c r="AV28" s="18">
        <v>447134</v>
      </c>
      <c r="AW28" s="20">
        <v>466331</v>
      </c>
      <c r="AX28" s="20">
        <v>454226</v>
      </c>
      <c r="AY28" s="18">
        <v>469369</v>
      </c>
      <c r="AZ28" s="20">
        <v>480754</v>
      </c>
      <c r="BA28" s="18">
        <v>469683.26299999992</v>
      </c>
      <c r="BB28" s="18">
        <v>467567</v>
      </c>
      <c r="BC28" s="18">
        <v>476027</v>
      </c>
      <c r="BD28" s="18">
        <v>476160</v>
      </c>
      <c r="BE28" s="21">
        <v>474580</v>
      </c>
      <c r="BF28" s="21">
        <v>460947</v>
      </c>
      <c r="BG28" s="21">
        <v>460703</v>
      </c>
      <c r="BH28" s="21">
        <v>471532</v>
      </c>
      <c r="BI28" s="22">
        <v>459218</v>
      </c>
      <c r="BJ28" s="21">
        <v>471907</v>
      </c>
      <c r="BK28" s="18">
        <v>480645</v>
      </c>
      <c r="BL28" s="23">
        <v>477530</v>
      </c>
      <c r="BM28" s="23">
        <v>487822</v>
      </c>
      <c r="BN28" s="23">
        <v>492003</v>
      </c>
      <c r="BO28" s="23">
        <v>511567</v>
      </c>
      <c r="BP28" s="23">
        <v>483132</v>
      </c>
      <c r="BQ28" s="23">
        <v>491288</v>
      </c>
      <c r="BR28" s="23">
        <v>490292</v>
      </c>
      <c r="BS28" s="53">
        <v>480769</v>
      </c>
      <c r="BT28" s="53">
        <v>485015</v>
      </c>
      <c r="BU28" s="53">
        <v>452601</v>
      </c>
      <c r="BV28" s="53">
        <v>505462</v>
      </c>
    </row>
    <row r="29" spans="1:74" ht="8.9" customHeight="1">
      <c r="A29" s="14" t="s">
        <v>26</v>
      </c>
      <c r="B29" s="15">
        <v>357517</v>
      </c>
      <c r="C29" s="15">
        <v>391385</v>
      </c>
      <c r="D29" s="15">
        <v>416209</v>
      </c>
      <c r="E29" s="15">
        <v>436467</v>
      </c>
      <c r="F29" s="15">
        <v>450358</v>
      </c>
      <c r="G29" s="15">
        <v>463465</v>
      </c>
      <c r="H29" s="15">
        <v>477297</v>
      </c>
      <c r="I29" s="15">
        <v>480191</v>
      </c>
      <c r="J29" s="15">
        <v>488592</v>
      </c>
      <c r="K29" s="15">
        <v>489143</v>
      </c>
      <c r="L29" s="15">
        <v>510453</v>
      </c>
      <c r="M29" s="15">
        <v>518342</v>
      </c>
      <c r="N29" s="15">
        <v>516009</v>
      </c>
      <c r="O29" s="15">
        <v>540457</v>
      </c>
      <c r="P29" s="15">
        <v>569406</v>
      </c>
      <c r="Q29" s="15">
        <v>563811</v>
      </c>
      <c r="R29" s="15">
        <v>582666</v>
      </c>
      <c r="S29" s="15">
        <v>610322</v>
      </c>
      <c r="T29" s="15">
        <v>625268</v>
      </c>
      <c r="U29" s="15">
        <v>662313</v>
      </c>
      <c r="V29" s="15">
        <v>690121</v>
      </c>
      <c r="W29" s="15">
        <v>718788</v>
      </c>
      <c r="X29" s="15">
        <v>746981</v>
      </c>
      <c r="Y29" s="15">
        <v>812564</v>
      </c>
      <c r="Z29" s="15">
        <v>856313</v>
      </c>
      <c r="AA29" s="15">
        <v>777085</v>
      </c>
      <c r="AB29" s="15">
        <v>790840</v>
      </c>
      <c r="AC29" s="15">
        <v>837001</v>
      </c>
      <c r="AD29" s="15">
        <v>846641</v>
      </c>
      <c r="AE29" s="15">
        <v>862636</v>
      </c>
      <c r="AF29" s="15">
        <v>808474</v>
      </c>
      <c r="AG29" s="15">
        <v>752291</v>
      </c>
      <c r="AH29" s="15">
        <v>713267</v>
      </c>
      <c r="AI29" s="15">
        <v>713345</v>
      </c>
      <c r="AJ29" s="15">
        <v>705324</v>
      </c>
      <c r="AK29" s="15">
        <v>712833</v>
      </c>
      <c r="AL29" s="15">
        <v>692153</v>
      </c>
      <c r="AM29" s="15">
        <v>703125</v>
      </c>
      <c r="AN29" s="15">
        <v>700031</v>
      </c>
      <c r="AO29" s="15">
        <v>732712</v>
      </c>
      <c r="AP29" s="15">
        <v>732718</v>
      </c>
      <c r="AQ29" s="15">
        <v>739805</v>
      </c>
      <c r="AR29" s="16">
        <v>709321</v>
      </c>
      <c r="AS29" s="17">
        <v>729333</v>
      </c>
      <c r="AT29" s="17">
        <v>734101</v>
      </c>
      <c r="AU29" s="18">
        <v>734141</v>
      </c>
      <c r="AV29" s="18">
        <v>776764</v>
      </c>
      <c r="AW29" s="20">
        <v>787102</v>
      </c>
      <c r="AX29" s="20">
        <v>800385</v>
      </c>
      <c r="AY29" s="18">
        <v>810204</v>
      </c>
      <c r="AZ29" s="20">
        <v>839188</v>
      </c>
      <c r="BA29" s="18">
        <v>824435.96900000004</v>
      </c>
      <c r="BB29" s="18">
        <v>812247</v>
      </c>
      <c r="BC29" s="18">
        <v>830312</v>
      </c>
      <c r="BD29" s="18">
        <v>825562</v>
      </c>
      <c r="BE29" s="21">
        <v>812890</v>
      </c>
      <c r="BF29" s="21">
        <v>783281</v>
      </c>
      <c r="BG29" s="21">
        <v>769987</v>
      </c>
      <c r="BH29" s="21">
        <v>797395</v>
      </c>
      <c r="BI29" s="22">
        <v>805606</v>
      </c>
      <c r="BJ29" s="21">
        <v>796462</v>
      </c>
      <c r="BK29" s="18">
        <v>819892</v>
      </c>
      <c r="BL29" s="23">
        <v>797328</v>
      </c>
      <c r="BM29" s="23">
        <v>806781</v>
      </c>
      <c r="BN29" s="23">
        <v>820593</v>
      </c>
      <c r="BO29" s="23">
        <v>878773</v>
      </c>
      <c r="BP29" s="23">
        <v>822527</v>
      </c>
      <c r="BQ29" s="23">
        <v>849515</v>
      </c>
      <c r="BR29" s="23">
        <v>846622.28643903276</v>
      </c>
      <c r="BS29" s="56">
        <v>852503</v>
      </c>
      <c r="BT29" s="56">
        <v>863333</v>
      </c>
      <c r="BU29" s="56">
        <v>789410</v>
      </c>
      <c r="BV29" s="56">
        <v>852286</v>
      </c>
    </row>
    <row r="30" spans="1:74" ht="8.9" customHeight="1">
      <c r="A30" s="32" t="s">
        <v>27</v>
      </c>
      <c r="B30" s="33">
        <v>59008</v>
      </c>
      <c r="C30" s="33">
        <v>66278</v>
      </c>
      <c r="D30" s="33">
        <v>74426</v>
      </c>
      <c r="E30" s="33">
        <v>83636</v>
      </c>
      <c r="F30" s="33">
        <v>94049</v>
      </c>
      <c r="G30" s="33">
        <v>98680</v>
      </c>
      <c r="H30" s="33">
        <v>109274</v>
      </c>
      <c r="I30" s="33">
        <v>113441</v>
      </c>
      <c r="J30" s="33">
        <v>117435</v>
      </c>
      <c r="K30" s="33">
        <v>122019</v>
      </c>
      <c r="L30" s="33">
        <v>132677</v>
      </c>
      <c r="M30" s="33">
        <v>140958</v>
      </c>
      <c r="N30" s="33">
        <v>151977</v>
      </c>
      <c r="O30" s="33">
        <v>176659</v>
      </c>
      <c r="P30" s="33">
        <v>196564</v>
      </c>
      <c r="Q30" s="33">
        <v>209882</v>
      </c>
      <c r="R30" s="33">
        <v>223998</v>
      </c>
      <c r="S30" s="33">
        <v>229932</v>
      </c>
      <c r="T30" s="33">
        <v>234959</v>
      </c>
      <c r="U30" s="33">
        <v>256322</v>
      </c>
      <c r="V30" s="33">
        <v>268685</v>
      </c>
      <c r="W30" s="33">
        <v>299423</v>
      </c>
      <c r="X30" s="33">
        <v>316868</v>
      </c>
      <c r="Y30" s="33">
        <v>351201</v>
      </c>
      <c r="Z30" s="33">
        <v>373682</v>
      </c>
      <c r="AA30" s="33">
        <v>363430</v>
      </c>
      <c r="AB30" s="33">
        <v>393872</v>
      </c>
      <c r="AC30" s="33">
        <v>412052</v>
      </c>
      <c r="AD30" s="33">
        <v>438284</v>
      </c>
      <c r="AE30" s="33">
        <v>486915</v>
      </c>
      <c r="AF30" s="33">
        <v>477007</v>
      </c>
      <c r="AG30" s="33">
        <v>471484</v>
      </c>
      <c r="AH30" s="33">
        <v>478243</v>
      </c>
      <c r="AI30" s="33">
        <v>463627</v>
      </c>
      <c r="AJ30" s="33">
        <v>464388</v>
      </c>
      <c r="AK30" s="33">
        <v>479257</v>
      </c>
      <c r="AL30" s="33">
        <v>488597</v>
      </c>
      <c r="AM30" s="33">
        <v>513525</v>
      </c>
      <c r="AN30" s="33">
        <v>545083</v>
      </c>
      <c r="AO30" s="33">
        <v>582761</v>
      </c>
      <c r="AP30" s="33">
        <v>610027</v>
      </c>
      <c r="AQ30" s="33">
        <v>627053</v>
      </c>
      <c r="AR30" s="36">
        <v>639883</v>
      </c>
      <c r="AS30" s="37">
        <v>677246</v>
      </c>
      <c r="AT30" s="37">
        <v>680774</v>
      </c>
      <c r="AU30" s="38">
        <v>722015</v>
      </c>
      <c r="AV30" s="38">
        <v>744557</v>
      </c>
      <c r="AW30" s="19">
        <v>788368</v>
      </c>
      <c r="AX30" s="19">
        <v>826250</v>
      </c>
      <c r="AY30" s="38">
        <v>909619</v>
      </c>
      <c r="AZ30" s="19">
        <v>908280</v>
      </c>
      <c r="BA30" s="38">
        <v>924418.11700000009</v>
      </c>
      <c r="BB30" s="38">
        <v>945643</v>
      </c>
      <c r="BC30" s="38">
        <v>973693</v>
      </c>
      <c r="BD30" s="38">
        <v>1031421</v>
      </c>
      <c r="BE30" s="39">
        <v>1071395</v>
      </c>
      <c r="BF30" s="39">
        <v>1101745</v>
      </c>
      <c r="BG30" s="39">
        <v>1134032</v>
      </c>
      <c r="BH30" s="39">
        <v>1150227</v>
      </c>
      <c r="BI30" s="40">
        <v>1099038</v>
      </c>
      <c r="BJ30" s="39">
        <v>1076408</v>
      </c>
      <c r="BK30" s="38">
        <v>1072826</v>
      </c>
      <c r="BL30" s="41">
        <v>1062129</v>
      </c>
      <c r="BM30" s="41">
        <v>1064148</v>
      </c>
      <c r="BN30" s="41">
        <v>1075716</v>
      </c>
      <c r="BO30" s="41">
        <v>1103239</v>
      </c>
      <c r="BP30" s="41">
        <v>1068058</v>
      </c>
      <c r="BQ30" s="41">
        <v>1100905</v>
      </c>
      <c r="BR30" s="41">
        <v>1131419.1915029215</v>
      </c>
      <c r="BS30" s="53">
        <v>1155595</v>
      </c>
      <c r="BT30" s="53">
        <v>1157367</v>
      </c>
      <c r="BU30" s="53">
        <v>984968</v>
      </c>
      <c r="BV30" s="53">
        <v>1122654</v>
      </c>
    </row>
    <row r="31" spans="1:74" ht="7.9" customHeight="1">
      <c r="A31" s="14" t="s">
        <v>28</v>
      </c>
      <c r="B31" s="15">
        <v>119354</v>
      </c>
      <c r="C31" s="15">
        <v>128140</v>
      </c>
      <c r="D31" s="15">
        <v>132929</v>
      </c>
      <c r="E31" s="15">
        <v>138632</v>
      </c>
      <c r="F31" s="15">
        <v>148341</v>
      </c>
      <c r="G31" s="15">
        <v>155965</v>
      </c>
      <c r="H31" s="15">
        <v>166387</v>
      </c>
      <c r="I31" s="15">
        <v>176213</v>
      </c>
      <c r="J31" s="15">
        <v>185139</v>
      </c>
      <c r="K31" s="15">
        <v>185539</v>
      </c>
      <c r="L31" s="15">
        <v>192156</v>
      </c>
      <c r="M31" s="15">
        <v>195980</v>
      </c>
      <c r="N31" s="15">
        <v>198850</v>
      </c>
      <c r="O31" s="15">
        <v>204833</v>
      </c>
      <c r="P31" s="15">
        <v>215404</v>
      </c>
      <c r="Q31" s="15">
        <v>227518</v>
      </c>
      <c r="R31" s="15">
        <v>238163</v>
      </c>
      <c r="S31" s="15">
        <v>254524</v>
      </c>
      <c r="T31" s="15">
        <v>268352</v>
      </c>
      <c r="U31" s="15">
        <v>293581</v>
      </c>
      <c r="V31" s="15">
        <v>313931</v>
      </c>
      <c r="W31" s="15">
        <v>338173</v>
      </c>
      <c r="X31" s="15">
        <v>360455</v>
      </c>
      <c r="Y31" s="15">
        <v>381755</v>
      </c>
      <c r="Z31" s="15">
        <v>393313</v>
      </c>
      <c r="AA31" s="15">
        <v>379948</v>
      </c>
      <c r="AB31" s="15">
        <v>389555</v>
      </c>
      <c r="AC31" s="15">
        <v>415056</v>
      </c>
      <c r="AD31" s="15">
        <v>432351</v>
      </c>
      <c r="AE31" s="15">
        <v>443789</v>
      </c>
      <c r="AF31" s="15">
        <v>418547</v>
      </c>
      <c r="AG31" s="15">
        <v>398030</v>
      </c>
      <c r="AH31" s="15">
        <v>388192</v>
      </c>
      <c r="AI31" s="15">
        <v>382003</v>
      </c>
      <c r="AJ31" s="15">
        <v>394044</v>
      </c>
      <c r="AK31" s="15">
        <v>424697</v>
      </c>
      <c r="AL31" s="15">
        <v>435779</v>
      </c>
      <c r="AM31" s="15">
        <v>468902</v>
      </c>
      <c r="AN31" s="15">
        <v>496305</v>
      </c>
      <c r="AO31" s="15">
        <v>511270</v>
      </c>
      <c r="AP31" s="15">
        <v>514367</v>
      </c>
      <c r="AQ31" s="15">
        <v>493509</v>
      </c>
      <c r="AR31" s="16">
        <v>504641</v>
      </c>
      <c r="AS31" s="17">
        <v>510788</v>
      </c>
      <c r="AT31" s="17">
        <v>520732</v>
      </c>
      <c r="AU31" s="18">
        <v>534520</v>
      </c>
      <c r="AV31" s="18">
        <v>555636</v>
      </c>
      <c r="AW31" s="20">
        <v>576689</v>
      </c>
      <c r="AX31" s="20">
        <v>608267</v>
      </c>
      <c r="AY31" s="18">
        <v>626964</v>
      </c>
      <c r="AZ31" s="20">
        <v>652558</v>
      </c>
      <c r="BA31" s="18">
        <v>660399.13399999985</v>
      </c>
      <c r="BB31" s="18">
        <v>662474.7696</v>
      </c>
      <c r="BC31" s="18">
        <v>687666</v>
      </c>
      <c r="BD31" s="18">
        <v>695867</v>
      </c>
      <c r="BE31" s="21">
        <v>698468</v>
      </c>
      <c r="BF31" s="21">
        <v>681316</v>
      </c>
      <c r="BG31" s="21">
        <v>685785</v>
      </c>
      <c r="BH31" s="21">
        <v>708605</v>
      </c>
      <c r="BI31" s="22">
        <v>700772</v>
      </c>
      <c r="BJ31" s="21">
        <v>698256</v>
      </c>
      <c r="BK31" s="18">
        <v>698888</v>
      </c>
      <c r="BL31" s="23">
        <v>685817</v>
      </c>
      <c r="BM31" s="23">
        <v>681830</v>
      </c>
      <c r="BN31" s="23">
        <v>684861</v>
      </c>
      <c r="BO31" s="23">
        <v>701066</v>
      </c>
      <c r="BP31" s="23">
        <v>656859</v>
      </c>
      <c r="BQ31" s="23">
        <v>660553</v>
      </c>
      <c r="BR31" s="23">
        <v>665381</v>
      </c>
      <c r="BS31" s="53">
        <v>671676</v>
      </c>
      <c r="BT31" s="53">
        <v>677217</v>
      </c>
      <c r="BU31" s="53">
        <v>568811</v>
      </c>
      <c r="BV31" s="53">
        <v>618597</v>
      </c>
    </row>
    <row r="32" spans="1:74" ht="8.9" customHeight="1">
      <c r="A32" s="14" t="s">
        <v>29</v>
      </c>
      <c r="B32" s="15">
        <v>1068493</v>
      </c>
      <c r="C32" s="15">
        <v>1184769</v>
      </c>
      <c r="D32" s="15">
        <v>1272802</v>
      </c>
      <c r="E32" s="15">
        <v>1352498</v>
      </c>
      <c r="F32" s="15">
        <v>1429005</v>
      </c>
      <c r="G32" s="15">
        <v>1571234</v>
      </c>
      <c r="H32" s="15">
        <v>1678675</v>
      </c>
      <c r="I32" s="15">
        <v>1739307</v>
      </c>
      <c r="J32" s="15">
        <v>1741173</v>
      </c>
      <c r="K32" s="15">
        <v>1788806</v>
      </c>
      <c r="L32" s="15">
        <v>1902985</v>
      </c>
      <c r="M32" s="15">
        <v>1939472</v>
      </c>
      <c r="N32" s="15">
        <v>1961542</v>
      </c>
      <c r="O32" s="15">
        <v>2005449</v>
      </c>
      <c r="P32" s="15">
        <v>2095302</v>
      </c>
      <c r="Q32" s="15">
        <v>2161239</v>
      </c>
      <c r="R32" s="15">
        <v>2277979</v>
      </c>
      <c r="S32" s="15">
        <v>2295753</v>
      </c>
      <c r="T32" s="15">
        <v>2360627</v>
      </c>
      <c r="U32" s="15">
        <v>2496057</v>
      </c>
      <c r="V32" s="15">
        <v>2584111</v>
      </c>
      <c r="W32" s="15">
        <v>2736672</v>
      </c>
      <c r="X32" s="15">
        <v>2843883</v>
      </c>
      <c r="Y32" s="15">
        <v>3114393</v>
      </c>
      <c r="Z32" s="15">
        <v>3180680</v>
      </c>
      <c r="AA32" s="15">
        <v>3097073</v>
      </c>
      <c r="AB32" s="15">
        <v>3209825</v>
      </c>
      <c r="AC32" s="15">
        <v>3309663</v>
      </c>
      <c r="AD32" s="15">
        <v>3237452</v>
      </c>
      <c r="AE32" s="15">
        <v>3374495</v>
      </c>
      <c r="AF32" s="15">
        <v>3197613</v>
      </c>
      <c r="AG32" s="15">
        <v>3100744</v>
      </c>
      <c r="AH32" s="15">
        <v>3039309</v>
      </c>
      <c r="AI32" s="15">
        <v>3061619</v>
      </c>
      <c r="AJ32" s="15">
        <v>3233370</v>
      </c>
      <c r="AK32" s="15">
        <v>3257372</v>
      </c>
      <c r="AL32" s="15">
        <v>3165537</v>
      </c>
      <c r="AM32" s="15">
        <v>3394489</v>
      </c>
      <c r="AN32" s="15">
        <v>3389620</v>
      </c>
      <c r="AO32" s="15">
        <v>3350237</v>
      </c>
      <c r="AP32" s="15">
        <v>3392373</v>
      </c>
      <c r="AQ32" s="15">
        <v>3275142</v>
      </c>
      <c r="AR32" s="16">
        <v>3307522</v>
      </c>
      <c r="AS32" s="17">
        <v>3223142</v>
      </c>
      <c r="AT32" s="17">
        <v>2945054</v>
      </c>
      <c r="AU32" s="18">
        <v>3421112</v>
      </c>
      <c r="AV32" s="18">
        <v>3403952</v>
      </c>
      <c r="AW32" s="20">
        <v>3581653</v>
      </c>
      <c r="AX32" s="20">
        <v>3700735</v>
      </c>
      <c r="AY32" s="18">
        <v>3824124</v>
      </c>
      <c r="AZ32" s="20">
        <v>3864358</v>
      </c>
      <c r="BA32" s="18">
        <v>3961872.2190000005</v>
      </c>
      <c r="BB32" s="18">
        <v>3911837</v>
      </c>
      <c r="BC32" s="18">
        <v>4003263</v>
      </c>
      <c r="BD32" s="18">
        <v>4101621</v>
      </c>
      <c r="BE32" s="21">
        <v>4296762</v>
      </c>
      <c r="BF32" s="21">
        <v>4216732</v>
      </c>
      <c r="BG32" s="21">
        <v>4184152</v>
      </c>
      <c r="BH32" s="21">
        <v>4270281</v>
      </c>
      <c r="BI32" s="22">
        <v>4196176</v>
      </c>
      <c r="BJ32" s="21">
        <v>4116680</v>
      </c>
      <c r="BK32" s="18">
        <v>4101585</v>
      </c>
      <c r="BL32" s="23">
        <v>4060488</v>
      </c>
      <c r="BM32" s="23">
        <v>3981558</v>
      </c>
      <c r="BN32" s="23">
        <v>3883240</v>
      </c>
      <c r="BO32" s="23">
        <v>4082825</v>
      </c>
      <c r="BP32" s="23">
        <v>3928510</v>
      </c>
      <c r="BQ32" s="23">
        <v>4049271</v>
      </c>
      <c r="BR32" s="23">
        <v>3854317</v>
      </c>
      <c r="BS32" s="53">
        <v>3762582</v>
      </c>
      <c r="BT32" s="53">
        <v>3770732</v>
      </c>
      <c r="BU32" s="53">
        <v>2971094</v>
      </c>
      <c r="BV32" s="53">
        <v>3339170</v>
      </c>
    </row>
    <row r="33" spans="1:74" ht="8.9" customHeight="1">
      <c r="A33" s="34" t="s">
        <v>30</v>
      </c>
      <c r="B33" s="35">
        <v>179035</v>
      </c>
      <c r="C33" s="35">
        <v>201254</v>
      </c>
      <c r="D33" s="35">
        <v>223191</v>
      </c>
      <c r="E33" s="35">
        <v>247793</v>
      </c>
      <c r="F33" s="35">
        <v>263813</v>
      </c>
      <c r="G33" s="35">
        <v>265646</v>
      </c>
      <c r="H33" s="35">
        <v>289352</v>
      </c>
      <c r="I33" s="35">
        <v>308156</v>
      </c>
      <c r="J33" s="35">
        <v>336663</v>
      </c>
      <c r="K33" s="35">
        <v>340774</v>
      </c>
      <c r="L33" s="35">
        <v>376189</v>
      </c>
      <c r="M33" s="35">
        <v>373962</v>
      </c>
      <c r="N33" s="35">
        <v>380690</v>
      </c>
      <c r="O33" s="35">
        <v>394769</v>
      </c>
      <c r="P33" s="35">
        <v>413038</v>
      </c>
      <c r="Q33" s="35">
        <v>429804</v>
      </c>
      <c r="R33" s="35">
        <v>441791</v>
      </c>
      <c r="S33" s="35">
        <v>453763</v>
      </c>
      <c r="T33" s="35">
        <v>462761</v>
      </c>
      <c r="U33" s="35">
        <v>484638</v>
      </c>
      <c r="V33" s="35">
        <v>518542</v>
      </c>
      <c r="W33" s="35">
        <v>542098</v>
      </c>
      <c r="X33" s="35">
        <v>589395</v>
      </c>
      <c r="Y33" s="35">
        <v>632650</v>
      </c>
      <c r="Z33" s="35">
        <v>673934</v>
      </c>
      <c r="AA33" s="35">
        <v>644276</v>
      </c>
      <c r="AB33" s="35">
        <v>681720</v>
      </c>
      <c r="AC33" s="35">
        <v>725552</v>
      </c>
      <c r="AD33" s="35">
        <v>751305</v>
      </c>
      <c r="AE33" s="35">
        <v>794798</v>
      </c>
      <c r="AF33" s="35">
        <v>765654</v>
      </c>
      <c r="AG33" s="35">
        <v>720417</v>
      </c>
      <c r="AH33" s="35">
        <v>712211</v>
      </c>
      <c r="AI33" s="35">
        <v>715758</v>
      </c>
      <c r="AJ33" s="35">
        <v>716354</v>
      </c>
      <c r="AK33" s="35">
        <v>729741</v>
      </c>
      <c r="AL33" s="35">
        <v>746685</v>
      </c>
      <c r="AM33" s="35">
        <v>765156</v>
      </c>
      <c r="AN33" s="35">
        <v>786094</v>
      </c>
      <c r="AO33" s="35">
        <v>795647</v>
      </c>
      <c r="AP33" s="35">
        <v>784541</v>
      </c>
      <c r="AQ33" s="35">
        <v>777137</v>
      </c>
      <c r="AR33" s="42">
        <v>792917</v>
      </c>
      <c r="AS33" s="43">
        <v>818289</v>
      </c>
      <c r="AT33" s="43">
        <v>841196</v>
      </c>
      <c r="AU33" s="44">
        <v>858229</v>
      </c>
      <c r="AV33" s="44">
        <v>853786</v>
      </c>
      <c r="AW33" s="45">
        <v>824769</v>
      </c>
      <c r="AX33" s="45">
        <v>876521</v>
      </c>
      <c r="AY33" s="44">
        <v>901559</v>
      </c>
      <c r="AZ33" s="45">
        <v>925648</v>
      </c>
      <c r="BA33" s="44">
        <v>879834.14199999999</v>
      </c>
      <c r="BB33" s="44">
        <v>885829</v>
      </c>
      <c r="BC33" s="44">
        <v>904705</v>
      </c>
      <c r="BD33" s="44">
        <v>910555</v>
      </c>
      <c r="BE33" s="46">
        <v>944775</v>
      </c>
      <c r="BF33" s="46">
        <v>926716</v>
      </c>
      <c r="BG33" s="46">
        <v>928810</v>
      </c>
      <c r="BH33" s="46">
        <v>919001</v>
      </c>
      <c r="BI33" s="47">
        <v>890040</v>
      </c>
      <c r="BJ33" s="46">
        <v>936024</v>
      </c>
      <c r="BK33" s="44">
        <v>889353</v>
      </c>
      <c r="BL33" s="48">
        <v>929744</v>
      </c>
      <c r="BM33" s="48">
        <v>939644</v>
      </c>
      <c r="BN33" s="48">
        <v>919011</v>
      </c>
      <c r="BO33" s="48">
        <v>959858</v>
      </c>
      <c r="BP33" s="48">
        <v>913565</v>
      </c>
      <c r="BQ33" s="48">
        <v>904361</v>
      </c>
      <c r="BR33" s="48">
        <v>962755</v>
      </c>
      <c r="BS33" s="54">
        <v>951802</v>
      </c>
      <c r="BT33" s="54">
        <v>959431</v>
      </c>
      <c r="BU33" s="54">
        <v>856035</v>
      </c>
      <c r="BV33" s="54">
        <v>976561</v>
      </c>
    </row>
    <row r="34" spans="1:74" ht="8.9" customHeight="1">
      <c r="A34" s="14" t="s">
        <v>96</v>
      </c>
      <c r="B34" s="15">
        <v>2282047</v>
      </c>
      <c r="C34" s="15">
        <v>2442475</v>
      </c>
      <c r="D34" s="15">
        <v>2552947</v>
      </c>
      <c r="E34" s="15">
        <v>2699945</v>
      </c>
      <c r="F34" s="15">
        <v>2842650</v>
      </c>
      <c r="G34" s="15">
        <v>2978848</v>
      </c>
      <c r="H34" s="15">
        <v>3167643</v>
      </c>
      <c r="I34" s="15">
        <v>3335416</v>
      </c>
      <c r="J34" s="15">
        <v>3455108</v>
      </c>
      <c r="K34" s="15">
        <v>3531744</v>
      </c>
      <c r="L34" s="15">
        <v>3658996</v>
      </c>
      <c r="M34" s="15">
        <v>3717603</v>
      </c>
      <c r="N34" s="15">
        <v>3780837</v>
      </c>
      <c r="O34" s="15">
        <v>3952025</v>
      </c>
      <c r="P34" s="15">
        <v>4076681</v>
      </c>
      <c r="Q34" s="15">
        <v>4262359</v>
      </c>
      <c r="R34" s="15">
        <v>4396651</v>
      </c>
      <c r="S34" s="15">
        <v>4546235</v>
      </c>
      <c r="T34" s="15">
        <v>4669888</v>
      </c>
      <c r="U34" s="15">
        <v>4838851</v>
      </c>
      <c r="V34" s="15">
        <v>5213634</v>
      </c>
      <c r="W34" s="15">
        <v>5291069</v>
      </c>
      <c r="X34" s="15">
        <v>5607418</v>
      </c>
      <c r="Y34" s="15">
        <v>5787529</v>
      </c>
      <c r="Z34" s="15">
        <v>5980989</v>
      </c>
      <c r="AA34" s="15">
        <v>5430173</v>
      </c>
      <c r="AB34" s="15">
        <v>5457762</v>
      </c>
      <c r="AC34" s="15">
        <v>5914850</v>
      </c>
      <c r="AD34" s="15">
        <v>5803705</v>
      </c>
      <c r="AE34" s="15">
        <v>5983100</v>
      </c>
      <c r="AF34" s="15">
        <v>5770047</v>
      </c>
      <c r="AG34" s="15">
        <v>5359882</v>
      </c>
      <c r="AH34" s="15">
        <v>5227845</v>
      </c>
      <c r="AI34" s="15">
        <v>5338859</v>
      </c>
      <c r="AJ34" s="15">
        <v>5251095</v>
      </c>
      <c r="AK34" s="15">
        <v>4731083</v>
      </c>
      <c r="AL34" s="15">
        <v>5688835</v>
      </c>
      <c r="AM34" s="15">
        <v>5711807</v>
      </c>
      <c r="AN34" s="15">
        <v>5941276</v>
      </c>
      <c r="AO34" s="15">
        <v>5368226</v>
      </c>
      <c r="AP34" s="15">
        <v>5540910</v>
      </c>
      <c r="AQ34" s="15">
        <v>5818951</v>
      </c>
      <c r="AR34" s="16">
        <v>5542839</v>
      </c>
      <c r="AS34" s="17">
        <v>5428866</v>
      </c>
      <c r="AT34" s="17">
        <v>5509680</v>
      </c>
      <c r="AU34" s="18">
        <v>5365261</v>
      </c>
      <c r="AV34" s="18">
        <v>5475492</v>
      </c>
      <c r="AW34" s="20">
        <v>5438243</v>
      </c>
      <c r="AX34" s="20">
        <v>5435545</v>
      </c>
      <c r="AY34" s="18">
        <v>5455609</v>
      </c>
      <c r="AZ34" s="20">
        <v>5590548</v>
      </c>
      <c r="BA34" s="18">
        <v>5522340.1569999997</v>
      </c>
      <c r="BB34" s="18">
        <v>5536612</v>
      </c>
      <c r="BC34" s="18">
        <v>5617401</v>
      </c>
      <c r="BD34" s="18">
        <v>5717835</v>
      </c>
      <c r="BE34" s="21">
        <v>5652111</v>
      </c>
      <c r="BF34" s="21">
        <v>5566962</v>
      </c>
      <c r="BG34" s="21">
        <v>5602326</v>
      </c>
      <c r="BH34" s="21">
        <v>5561729</v>
      </c>
      <c r="BI34" s="22">
        <v>5474523</v>
      </c>
      <c r="BJ34" s="21">
        <v>5509073</v>
      </c>
      <c r="BK34" s="18">
        <v>5619055</v>
      </c>
      <c r="BL34" s="23">
        <v>5389479</v>
      </c>
      <c r="BM34" s="23">
        <v>5272365</v>
      </c>
      <c r="BN34" s="23">
        <v>5188623</v>
      </c>
      <c r="BO34" s="23">
        <v>5510992</v>
      </c>
      <c r="BP34" s="23">
        <v>5090797</v>
      </c>
      <c r="BQ34" s="23">
        <v>5321827</v>
      </c>
      <c r="BR34" s="23">
        <v>5388111</v>
      </c>
      <c r="BS34" s="52">
        <v>5444276</v>
      </c>
      <c r="BT34" s="52">
        <v>5401064</v>
      </c>
      <c r="BU34" s="52">
        <v>4426844</v>
      </c>
      <c r="BV34" s="52">
        <v>4927046</v>
      </c>
    </row>
    <row r="35" spans="1:74" ht="8.9" customHeight="1">
      <c r="A35" s="14" t="s">
        <v>31</v>
      </c>
      <c r="B35" s="15">
        <v>761059</v>
      </c>
      <c r="C35" s="15">
        <v>864615</v>
      </c>
      <c r="D35" s="15">
        <v>945767</v>
      </c>
      <c r="E35" s="15">
        <v>1003323</v>
      </c>
      <c r="F35" s="15">
        <v>1046643</v>
      </c>
      <c r="G35" s="15">
        <v>1078960</v>
      </c>
      <c r="H35" s="15">
        <v>1182438</v>
      </c>
      <c r="I35" s="15">
        <v>1234216</v>
      </c>
      <c r="J35" s="15">
        <v>1269389</v>
      </c>
      <c r="K35" s="15">
        <v>1298620</v>
      </c>
      <c r="L35" s="15">
        <v>1381290</v>
      </c>
      <c r="M35" s="15">
        <v>1402083</v>
      </c>
      <c r="N35" s="15">
        <v>1494304</v>
      </c>
      <c r="O35" s="15">
        <v>1511348</v>
      </c>
      <c r="P35" s="15">
        <v>1593647</v>
      </c>
      <c r="Q35" s="15">
        <v>1683200</v>
      </c>
      <c r="R35" s="15">
        <v>1745403</v>
      </c>
      <c r="S35" s="15">
        <v>1840582</v>
      </c>
      <c r="T35" s="15">
        <v>1941466</v>
      </c>
      <c r="U35" s="15">
        <v>2047423</v>
      </c>
      <c r="V35" s="15">
        <v>2200881</v>
      </c>
      <c r="W35" s="15">
        <v>2314451</v>
      </c>
      <c r="X35" s="15">
        <v>2425095</v>
      </c>
      <c r="Y35" s="15">
        <v>2642131</v>
      </c>
      <c r="Z35" s="15">
        <v>2743015</v>
      </c>
      <c r="AA35" s="15">
        <v>2701591</v>
      </c>
      <c r="AB35" s="15">
        <v>2748125</v>
      </c>
      <c r="AC35" s="15">
        <v>2896613</v>
      </c>
      <c r="AD35" s="15">
        <v>3002247</v>
      </c>
      <c r="AE35" s="15">
        <v>3139468</v>
      </c>
      <c r="AF35" s="15">
        <v>3014206</v>
      </c>
      <c r="AG35" s="15">
        <v>2782868</v>
      </c>
      <c r="AH35" s="15">
        <v>2754604</v>
      </c>
      <c r="AI35" s="15">
        <v>2717239</v>
      </c>
      <c r="AJ35" s="15">
        <v>2783990</v>
      </c>
      <c r="AK35" s="15">
        <v>2862069</v>
      </c>
      <c r="AL35" s="15">
        <v>2949691</v>
      </c>
      <c r="AM35" s="15">
        <v>3083929</v>
      </c>
      <c r="AN35" s="15">
        <v>3167726</v>
      </c>
      <c r="AO35" s="15">
        <v>3238152</v>
      </c>
      <c r="AP35" s="15">
        <v>3220878</v>
      </c>
      <c r="AQ35" s="15">
        <v>3210890</v>
      </c>
      <c r="AR35" s="16">
        <v>3171674</v>
      </c>
      <c r="AS35" s="17">
        <v>3226861</v>
      </c>
      <c r="AT35" s="17">
        <v>3403980</v>
      </c>
      <c r="AU35" s="18">
        <v>3491594</v>
      </c>
      <c r="AV35" s="18">
        <v>3567817</v>
      </c>
      <c r="AW35" s="20">
        <v>3647165</v>
      </c>
      <c r="AX35" s="20">
        <v>3767918</v>
      </c>
      <c r="AY35" s="18">
        <v>3902834</v>
      </c>
      <c r="AZ35" s="20">
        <v>4081137</v>
      </c>
      <c r="BA35" s="18">
        <v>4067020.4569999995</v>
      </c>
      <c r="BB35" s="18">
        <v>4060592</v>
      </c>
      <c r="BC35" s="18">
        <v>4139592</v>
      </c>
      <c r="BD35" s="18">
        <v>4216735</v>
      </c>
      <c r="BE35" s="21">
        <v>4278624</v>
      </c>
      <c r="BF35" s="21">
        <v>4223852</v>
      </c>
      <c r="BG35" s="21">
        <v>4210954</v>
      </c>
      <c r="BH35" s="21">
        <v>4296237</v>
      </c>
      <c r="BI35" s="22">
        <v>4249423</v>
      </c>
      <c r="BJ35" s="21">
        <v>4264334</v>
      </c>
      <c r="BK35" s="18">
        <v>4343660</v>
      </c>
      <c r="BL35" s="23">
        <v>4241869</v>
      </c>
      <c r="BM35" s="23">
        <v>4106118</v>
      </c>
      <c r="BN35" s="23">
        <v>4177832</v>
      </c>
      <c r="BO35" s="23">
        <v>4326984</v>
      </c>
      <c r="BP35" s="23">
        <v>4252094</v>
      </c>
      <c r="BQ35" s="23">
        <v>4481824</v>
      </c>
      <c r="BR35" s="23">
        <v>4490206</v>
      </c>
      <c r="BS35" s="53">
        <v>4492129</v>
      </c>
      <c r="BT35" s="53">
        <v>4633090</v>
      </c>
      <c r="BU35" s="53">
        <v>4121821</v>
      </c>
      <c r="BV35" s="53">
        <v>4576016</v>
      </c>
    </row>
    <row r="36" spans="1:74" ht="8.9" customHeight="1">
      <c r="A36" s="14" t="s">
        <v>32</v>
      </c>
      <c r="B36" s="15">
        <v>132934</v>
      </c>
      <c r="C36" s="15">
        <v>131869</v>
      </c>
      <c r="D36" s="15">
        <v>137485</v>
      </c>
      <c r="E36" s="15">
        <v>147238</v>
      </c>
      <c r="F36" s="15">
        <v>154025</v>
      </c>
      <c r="G36" s="15">
        <v>159168</v>
      </c>
      <c r="H36" s="15">
        <v>165391</v>
      </c>
      <c r="I36" s="15">
        <v>143061</v>
      </c>
      <c r="J36" s="15">
        <v>179276</v>
      </c>
      <c r="K36" s="15">
        <v>186733</v>
      </c>
      <c r="L36" s="15">
        <v>182239</v>
      </c>
      <c r="M36" s="15">
        <v>193240</v>
      </c>
      <c r="N36" s="15">
        <v>184380</v>
      </c>
      <c r="O36" s="15">
        <v>201553</v>
      </c>
      <c r="P36" s="15">
        <v>209582</v>
      </c>
      <c r="Q36" s="15">
        <v>217309</v>
      </c>
      <c r="R36" s="15">
        <v>231166</v>
      </c>
      <c r="S36" s="15">
        <v>225954</v>
      </c>
      <c r="T36" s="15">
        <v>232781</v>
      </c>
      <c r="U36" s="15">
        <v>244626</v>
      </c>
      <c r="V36" s="15">
        <v>249745</v>
      </c>
      <c r="W36" s="15">
        <v>264391</v>
      </c>
      <c r="X36" s="15">
        <v>278751</v>
      </c>
      <c r="Y36" s="15">
        <v>302658</v>
      </c>
      <c r="Z36" s="15">
        <v>320175</v>
      </c>
      <c r="AA36" s="15">
        <v>301499</v>
      </c>
      <c r="AB36" s="15">
        <v>324566</v>
      </c>
      <c r="AC36" s="15">
        <v>346903</v>
      </c>
      <c r="AD36" s="15">
        <v>354191</v>
      </c>
      <c r="AE36" s="15">
        <v>372084</v>
      </c>
      <c r="AF36" s="15">
        <v>339705</v>
      </c>
      <c r="AG36" s="15">
        <v>324518</v>
      </c>
      <c r="AH36" s="15">
        <v>350658</v>
      </c>
      <c r="AI36" s="15">
        <v>334727</v>
      </c>
      <c r="AJ36" s="15">
        <v>328506</v>
      </c>
      <c r="AK36" s="15">
        <v>337317</v>
      </c>
      <c r="AL36" s="15">
        <v>328257</v>
      </c>
      <c r="AM36" s="15">
        <v>324401</v>
      </c>
      <c r="AN36" s="15">
        <v>327947</v>
      </c>
      <c r="AO36" s="15">
        <v>320576</v>
      </c>
      <c r="AP36" s="15">
        <v>319170</v>
      </c>
      <c r="AQ36" s="15">
        <v>310104</v>
      </c>
      <c r="AR36" s="16">
        <v>314378</v>
      </c>
      <c r="AS36" s="17">
        <v>319969</v>
      </c>
      <c r="AT36" s="17">
        <v>330012</v>
      </c>
      <c r="AU36" s="18">
        <v>325376</v>
      </c>
      <c r="AV36" s="18">
        <v>333073</v>
      </c>
      <c r="AW36" s="20">
        <v>340626</v>
      </c>
      <c r="AX36" s="20">
        <v>344000</v>
      </c>
      <c r="AY36" s="18">
        <v>340591</v>
      </c>
      <c r="AZ36" s="20">
        <v>349453</v>
      </c>
      <c r="BA36" s="18">
        <v>339587.98099999991</v>
      </c>
      <c r="BB36" s="18">
        <v>334544</v>
      </c>
      <c r="BC36" s="18">
        <v>336169</v>
      </c>
      <c r="BD36" s="18">
        <v>341825</v>
      </c>
      <c r="BE36" s="21">
        <v>330233</v>
      </c>
      <c r="BF36" s="21">
        <v>334241</v>
      </c>
      <c r="BG36" s="21">
        <v>316877</v>
      </c>
      <c r="BH36" s="21">
        <v>328763</v>
      </c>
      <c r="BI36" s="22">
        <v>337149</v>
      </c>
      <c r="BJ36" s="21">
        <v>348577</v>
      </c>
      <c r="BK36" s="18">
        <v>371038</v>
      </c>
      <c r="BL36" s="23">
        <v>394850</v>
      </c>
      <c r="BM36" s="23">
        <v>419554</v>
      </c>
      <c r="BN36" s="23">
        <v>432604</v>
      </c>
      <c r="BO36" s="23">
        <v>465347</v>
      </c>
      <c r="BP36" s="23">
        <v>433114</v>
      </c>
      <c r="BQ36" s="23">
        <v>408811</v>
      </c>
      <c r="BR36" s="23">
        <v>402672</v>
      </c>
      <c r="BS36" s="53">
        <v>404051</v>
      </c>
      <c r="BT36" s="53">
        <v>411541</v>
      </c>
      <c r="BU36" s="53">
        <v>362481</v>
      </c>
      <c r="BV36" s="53">
        <v>384647</v>
      </c>
    </row>
    <row r="37" spans="1:74" ht="8.9" customHeight="1">
      <c r="A37" s="14" t="s">
        <v>33</v>
      </c>
      <c r="B37" s="15">
        <v>1858723</v>
      </c>
      <c r="C37" s="15">
        <v>2039068</v>
      </c>
      <c r="D37" s="15">
        <v>2130188</v>
      </c>
      <c r="E37" s="15">
        <v>2249329</v>
      </c>
      <c r="F37" s="15">
        <v>2404443</v>
      </c>
      <c r="G37" s="15">
        <v>2467932</v>
      </c>
      <c r="H37" s="15">
        <v>2656845</v>
      </c>
      <c r="I37" s="15">
        <v>2814318</v>
      </c>
      <c r="J37" s="15">
        <v>2892464</v>
      </c>
      <c r="K37" s="15">
        <v>2885504</v>
      </c>
      <c r="L37" s="15">
        <v>3012172</v>
      </c>
      <c r="M37" s="15">
        <v>3012179</v>
      </c>
      <c r="N37" s="15">
        <v>3030829</v>
      </c>
      <c r="O37" s="15">
        <v>3128098</v>
      </c>
      <c r="P37" s="15">
        <v>3202070</v>
      </c>
      <c r="Q37" s="15">
        <v>3354322</v>
      </c>
      <c r="R37" s="15">
        <v>3481722</v>
      </c>
      <c r="S37" s="15">
        <v>3639296</v>
      </c>
      <c r="T37" s="15">
        <v>3748167</v>
      </c>
      <c r="U37" s="15">
        <v>3959274</v>
      </c>
      <c r="V37" s="15">
        <v>4174695</v>
      </c>
      <c r="W37" s="15">
        <v>4363168</v>
      </c>
      <c r="X37" s="15">
        <v>4479124</v>
      </c>
      <c r="Y37" s="15">
        <v>4741368</v>
      </c>
      <c r="Z37" s="15">
        <v>4968581</v>
      </c>
      <c r="AA37" s="15">
        <v>4783729</v>
      </c>
      <c r="AB37" s="15">
        <v>4866000</v>
      </c>
      <c r="AC37" s="15">
        <v>5049558</v>
      </c>
      <c r="AD37" s="15">
        <v>5231775</v>
      </c>
      <c r="AE37" s="15">
        <v>5297209</v>
      </c>
      <c r="AF37" s="15">
        <v>5143455</v>
      </c>
      <c r="AG37" s="15">
        <v>4720600</v>
      </c>
      <c r="AH37" s="15">
        <v>4571822</v>
      </c>
      <c r="AI37" s="15">
        <v>4395587</v>
      </c>
      <c r="AJ37" s="15">
        <v>4435135</v>
      </c>
      <c r="AK37" s="15">
        <v>4467636</v>
      </c>
      <c r="AL37" s="15">
        <v>4581511</v>
      </c>
      <c r="AM37" s="15">
        <v>4667364</v>
      </c>
      <c r="AN37" s="15">
        <v>4797155</v>
      </c>
      <c r="AO37" s="15">
        <v>4757204</v>
      </c>
      <c r="AP37" s="15">
        <v>4737926</v>
      </c>
      <c r="AQ37" s="15">
        <v>4624942</v>
      </c>
      <c r="AR37" s="16">
        <v>4573239</v>
      </c>
      <c r="AS37" s="17">
        <v>4504696</v>
      </c>
      <c r="AT37" s="17">
        <v>4794100</v>
      </c>
      <c r="AU37" s="18">
        <v>4732145</v>
      </c>
      <c r="AV37" s="18">
        <v>4797464</v>
      </c>
      <c r="AW37" s="20">
        <v>4788108</v>
      </c>
      <c r="AX37" s="20">
        <v>4847001</v>
      </c>
      <c r="AY37" s="18">
        <v>4960354</v>
      </c>
      <c r="AZ37" s="20">
        <v>5068915</v>
      </c>
      <c r="BA37" s="18">
        <v>5060358.2019999996</v>
      </c>
      <c r="BB37" s="18">
        <v>5028276</v>
      </c>
      <c r="BC37" s="18">
        <v>5093599</v>
      </c>
      <c r="BD37" s="18">
        <v>5153371</v>
      </c>
      <c r="BE37" s="21">
        <v>5120596</v>
      </c>
      <c r="BF37" s="21">
        <v>5053460</v>
      </c>
      <c r="BG37" s="21">
        <v>4969756</v>
      </c>
      <c r="BH37" s="21">
        <v>4966280</v>
      </c>
      <c r="BI37" s="22">
        <v>4945142</v>
      </c>
      <c r="BJ37" s="21">
        <v>4890709</v>
      </c>
      <c r="BK37" s="18">
        <v>4952455</v>
      </c>
      <c r="BL37" s="23">
        <v>4854761</v>
      </c>
      <c r="BM37" s="23">
        <v>4824293</v>
      </c>
      <c r="BN37" s="23">
        <v>4815395</v>
      </c>
      <c r="BO37" s="23">
        <v>4998767</v>
      </c>
      <c r="BP37" s="23">
        <v>4804289</v>
      </c>
      <c r="BQ37" s="23">
        <v>4869710</v>
      </c>
      <c r="BR37" s="23">
        <v>4863364</v>
      </c>
      <c r="BS37" s="54">
        <v>4804259</v>
      </c>
      <c r="BT37" s="54">
        <v>4788084</v>
      </c>
      <c r="BU37" s="54">
        <v>4137129</v>
      </c>
      <c r="BV37" s="54">
        <v>4464007</v>
      </c>
    </row>
    <row r="38" spans="1:74" ht="9.25" customHeight="1">
      <c r="A38" s="32" t="s">
        <v>34</v>
      </c>
      <c r="B38" s="33">
        <v>498683</v>
      </c>
      <c r="C38" s="33">
        <v>559307</v>
      </c>
      <c r="D38" s="33">
        <v>595343</v>
      </c>
      <c r="E38" s="33">
        <v>639593</v>
      </c>
      <c r="F38" s="33">
        <v>668691</v>
      </c>
      <c r="G38" s="33">
        <v>684807</v>
      </c>
      <c r="H38" s="33">
        <v>733020</v>
      </c>
      <c r="I38" s="33">
        <v>763355</v>
      </c>
      <c r="J38" s="33">
        <v>767947</v>
      </c>
      <c r="K38" s="33">
        <v>791501</v>
      </c>
      <c r="L38" s="33">
        <v>840249</v>
      </c>
      <c r="M38" s="33">
        <v>858533</v>
      </c>
      <c r="N38" s="33">
        <v>887047</v>
      </c>
      <c r="O38" s="33">
        <v>925840</v>
      </c>
      <c r="P38" s="33">
        <v>958755</v>
      </c>
      <c r="Q38" s="33">
        <v>1007390</v>
      </c>
      <c r="R38" s="33">
        <v>1042473</v>
      </c>
      <c r="S38" s="33">
        <v>1083638</v>
      </c>
      <c r="T38" s="33">
        <v>1122775</v>
      </c>
      <c r="U38" s="33">
        <v>1187034</v>
      </c>
      <c r="V38" s="33">
        <v>1258493</v>
      </c>
      <c r="W38" s="33">
        <v>1332674</v>
      </c>
      <c r="X38" s="33">
        <v>1395873</v>
      </c>
      <c r="Y38" s="33">
        <v>1492018</v>
      </c>
      <c r="Z38" s="33">
        <v>1557849</v>
      </c>
      <c r="AA38" s="33">
        <v>1506886</v>
      </c>
      <c r="AB38" s="33">
        <v>1579239</v>
      </c>
      <c r="AC38" s="33">
        <v>1676387</v>
      </c>
      <c r="AD38" s="33">
        <v>1739448</v>
      </c>
      <c r="AE38" s="33">
        <v>1827947</v>
      </c>
      <c r="AF38" s="33">
        <v>1743773</v>
      </c>
      <c r="AG38" s="33">
        <v>1671695</v>
      </c>
      <c r="AH38" s="33">
        <v>1733069</v>
      </c>
      <c r="AI38" s="33">
        <v>1796621</v>
      </c>
      <c r="AJ38" s="33">
        <v>1770443</v>
      </c>
      <c r="AK38" s="33">
        <v>1707996</v>
      </c>
      <c r="AL38" s="33">
        <v>1738016</v>
      </c>
      <c r="AM38" s="33">
        <v>1672540</v>
      </c>
      <c r="AN38" s="33">
        <v>1583150</v>
      </c>
      <c r="AO38" s="33">
        <v>1575523</v>
      </c>
      <c r="AP38" s="33">
        <v>1591489</v>
      </c>
      <c r="AQ38" s="33">
        <v>1602440</v>
      </c>
      <c r="AR38" s="36">
        <v>1583077</v>
      </c>
      <c r="AS38" s="37">
        <v>1655335</v>
      </c>
      <c r="AT38" s="37">
        <v>1680750</v>
      </c>
      <c r="AU38" s="38">
        <v>1709769</v>
      </c>
      <c r="AV38" s="38">
        <v>1719873</v>
      </c>
      <c r="AW38" s="19">
        <v>1785202</v>
      </c>
      <c r="AX38" s="19">
        <v>1737963</v>
      </c>
      <c r="AY38" s="38">
        <v>1762809</v>
      </c>
      <c r="AZ38" s="19">
        <v>1811741</v>
      </c>
      <c r="BA38" s="38">
        <v>1749268.2620000003</v>
      </c>
      <c r="BB38" s="38">
        <v>1751701</v>
      </c>
      <c r="BC38" s="38">
        <v>1707873</v>
      </c>
      <c r="BD38" s="38">
        <v>1762226</v>
      </c>
      <c r="BE38" s="39">
        <v>1819300</v>
      </c>
      <c r="BF38" s="39">
        <v>1790937</v>
      </c>
      <c r="BG38" s="39">
        <v>1708552</v>
      </c>
      <c r="BH38" s="39">
        <v>1786779</v>
      </c>
      <c r="BI38" s="40">
        <v>1764509</v>
      </c>
      <c r="BJ38" s="39">
        <v>1754712</v>
      </c>
      <c r="BK38" s="38">
        <v>1856007</v>
      </c>
      <c r="BL38" s="41">
        <v>1755853</v>
      </c>
      <c r="BM38" s="41">
        <v>1859439</v>
      </c>
      <c r="BN38" s="41">
        <v>1798221</v>
      </c>
      <c r="BO38" s="41">
        <v>1970501</v>
      </c>
      <c r="BP38" s="41">
        <v>1794536</v>
      </c>
      <c r="BQ38" s="41">
        <v>1831666</v>
      </c>
      <c r="BR38" s="41">
        <v>1782740</v>
      </c>
      <c r="BS38" s="52">
        <v>1821895</v>
      </c>
      <c r="BT38" s="52">
        <v>1815899</v>
      </c>
      <c r="BU38" s="52">
        <v>1652166</v>
      </c>
      <c r="BV38" s="52">
        <v>1772549</v>
      </c>
    </row>
    <row r="39" spans="1:74" ht="9.25" customHeight="1">
      <c r="A39" s="14" t="s">
        <v>102</v>
      </c>
      <c r="B39" s="15">
        <v>423345</v>
      </c>
      <c r="C39" s="15">
        <v>455391</v>
      </c>
      <c r="D39" s="15">
        <v>483064</v>
      </c>
      <c r="E39" s="15">
        <v>505135</v>
      </c>
      <c r="F39" s="15">
        <v>510808</v>
      </c>
      <c r="G39" s="15">
        <v>514922</v>
      </c>
      <c r="H39" s="15">
        <v>546275</v>
      </c>
      <c r="I39" s="15">
        <v>571740</v>
      </c>
      <c r="J39" s="15">
        <v>567130</v>
      </c>
      <c r="K39" s="15">
        <v>580967</v>
      </c>
      <c r="L39" s="15">
        <v>604079</v>
      </c>
      <c r="M39" s="15">
        <v>613468</v>
      </c>
      <c r="N39" s="15">
        <v>637886</v>
      </c>
      <c r="O39" s="15">
        <v>671590</v>
      </c>
      <c r="P39" s="15">
        <v>700647</v>
      </c>
      <c r="Q39" s="15">
        <v>745412</v>
      </c>
      <c r="R39" s="15">
        <v>790253</v>
      </c>
      <c r="S39" s="15">
        <v>826376</v>
      </c>
      <c r="T39" s="15">
        <v>852727</v>
      </c>
      <c r="U39" s="15">
        <v>891904</v>
      </c>
      <c r="V39" s="15">
        <v>942243</v>
      </c>
      <c r="W39" s="15">
        <v>1003143</v>
      </c>
      <c r="X39" s="15">
        <v>1067651</v>
      </c>
      <c r="Y39" s="15">
        <v>1141417</v>
      </c>
      <c r="Z39" s="15">
        <v>1191108</v>
      </c>
      <c r="AA39" s="15">
        <v>1135783</v>
      </c>
      <c r="AB39" s="15">
        <v>1172395</v>
      </c>
      <c r="AC39" s="15">
        <v>1259721</v>
      </c>
      <c r="AD39" s="15">
        <v>1317583</v>
      </c>
      <c r="AE39" s="15">
        <v>1388672</v>
      </c>
      <c r="AF39" s="15">
        <v>1339449</v>
      </c>
      <c r="AG39" s="15">
        <v>1271882</v>
      </c>
      <c r="AH39" s="15">
        <v>1223659</v>
      </c>
      <c r="AI39" s="15">
        <v>1161783</v>
      </c>
      <c r="AJ39" s="15">
        <v>1161074</v>
      </c>
      <c r="AK39" s="15">
        <v>1203781</v>
      </c>
      <c r="AL39" s="15">
        <v>1205880</v>
      </c>
      <c r="AM39" s="15">
        <v>1243848</v>
      </c>
      <c r="AN39" s="15">
        <v>1262981</v>
      </c>
      <c r="AO39" s="15">
        <v>1316266</v>
      </c>
      <c r="AP39" s="15">
        <v>1318093</v>
      </c>
      <c r="AQ39" s="15">
        <v>1315692</v>
      </c>
      <c r="AR39" s="16">
        <v>1321177</v>
      </c>
      <c r="AS39" s="17">
        <v>1340350</v>
      </c>
      <c r="AT39" s="17">
        <v>1395999</v>
      </c>
      <c r="AU39" s="18">
        <v>1409091</v>
      </c>
      <c r="AV39" s="18">
        <v>1397561</v>
      </c>
      <c r="AW39" s="20">
        <v>1451246</v>
      </c>
      <c r="AX39" s="20">
        <v>1384560</v>
      </c>
      <c r="AY39" s="18">
        <v>1496448</v>
      </c>
      <c r="AZ39" s="20">
        <v>1525908</v>
      </c>
      <c r="BA39" s="18">
        <v>1494985.5830000001</v>
      </c>
      <c r="BB39" s="18">
        <v>1487269</v>
      </c>
      <c r="BC39" s="18">
        <v>1514970</v>
      </c>
      <c r="BD39" s="18">
        <v>1505004</v>
      </c>
      <c r="BE39" s="21">
        <v>1499299</v>
      </c>
      <c r="BF39" s="21">
        <v>1510803</v>
      </c>
      <c r="BG39" s="21">
        <v>1509784</v>
      </c>
      <c r="BH39" s="21">
        <v>1506178</v>
      </c>
      <c r="BI39" s="22">
        <v>1458783</v>
      </c>
      <c r="BJ39" s="21">
        <v>1490589</v>
      </c>
      <c r="BK39" s="18">
        <v>1483201</v>
      </c>
      <c r="BL39" s="23">
        <v>1435758</v>
      </c>
      <c r="BM39" s="23">
        <v>1423436</v>
      </c>
      <c r="BN39" s="23">
        <v>1419623</v>
      </c>
      <c r="BO39" s="23">
        <v>1487796</v>
      </c>
      <c r="BP39" s="23">
        <v>1448883</v>
      </c>
      <c r="BQ39" s="23">
        <v>1500721</v>
      </c>
      <c r="BR39" s="23">
        <v>1528634</v>
      </c>
      <c r="BS39" s="53">
        <v>1528662</v>
      </c>
      <c r="BT39" s="53">
        <v>1506779</v>
      </c>
      <c r="BU39" s="53">
        <v>1298382</v>
      </c>
      <c r="BV39" s="53">
        <v>1416896</v>
      </c>
    </row>
    <row r="40" spans="1:74" ht="9.25" customHeight="1">
      <c r="A40" s="14" t="s">
        <v>35</v>
      </c>
      <c r="B40" s="15">
        <v>1955189</v>
      </c>
      <c r="C40" s="15">
        <v>2101782</v>
      </c>
      <c r="D40" s="15">
        <v>2244634</v>
      </c>
      <c r="E40" s="15">
        <v>2359574</v>
      </c>
      <c r="F40" s="15">
        <v>2463061</v>
      </c>
      <c r="G40" s="15">
        <v>2530920</v>
      </c>
      <c r="H40" s="15">
        <v>2717499</v>
      </c>
      <c r="I40" s="15">
        <v>2841922</v>
      </c>
      <c r="J40" s="15">
        <v>2936230</v>
      </c>
      <c r="K40" s="15">
        <v>2988642</v>
      </c>
      <c r="L40" s="15">
        <v>3074648</v>
      </c>
      <c r="M40" s="15">
        <v>3108317</v>
      </c>
      <c r="N40" s="15">
        <v>3057484</v>
      </c>
      <c r="O40" s="15">
        <v>3148046</v>
      </c>
      <c r="P40" s="15">
        <v>3212219</v>
      </c>
      <c r="Q40" s="15">
        <v>3328690</v>
      </c>
      <c r="R40" s="15">
        <v>3432593</v>
      </c>
      <c r="S40" s="15">
        <v>3513473</v>
      </c>
      <c r="T40" s="15">
        <v>3695727</v>
      </c>
      <c r="U40" s="15">
        <v>3923644</v>
      </c>
      <c r="V40" s="15">
        <v>4003253</v>
      </c>
      <c r="W40" s="15">
        <v>4127715</v>
      </c>
      <c r="X40" s="15">
        <v>4409564</v>
      </c>
      <c r="Y40" s="15">
        <v>4805233</v>
      </c>
      <c r="Z40" s="15">
        <v>4761950</v>
      </c>
      <c r="AA40" s="15">
        <v>4427221</v>
      </c>
      <c r="AB40" s="15">
        <v>4461074</v>
      </c>
      <c r="AC40" s="15">
        <v>4882205</v>
      </c>
      <c r="AD40" s="15">
        <v>4989008</v>
      </c>
      <c r="AE40" s="15">
        <v>5079446</v>
      </c>
      <c r="AF40" s="15">
        <v>4916758</v>
      </c>
      <c r="AG40" s="15">
        <v>4612997</v>
      </c>
      <c r="AH40" s="15">
        <v>4342010</v>
      </c>
      <c r="AI40" s="15">
        <v>4242313</v>
      </c>
      <c r="AJ40" s="15">
        <v>4285435</v>
      </c>
      <c r="AK40" s="15">
        <v>4304743</v>
      </c>
      <c r="AL40" s="15">
        <v>4293015</v>
      </c>
      <c r="AM40" s="15">
        <v>4385797</v>
      </c>
      <c r="AN40" s="15">
        <v>4452198</v>
      </c>
      <c r="AO40" s="15">
        <v>4586033</v>
      </c>
      <c r="AP40" s="15">
        <v>4554640</v>
      </c>
      <c r="AQ40" s="15">
        <v>4505001</v>
      </c>
      <c r="AR40" s="16">
        <v>4458592</v>
      </c>
      <c r="AS40" s="17">
        <v>4527647</v>
      </c>
      <c r="AT40" s="17">
        <v>4620582</v>
      </c>
      <c r="AU40" s="18">
        <v>4610646</v>
      </c>
      <c r="AV40" s="18">
        <v>4668698</v>
      </c>
      <c r="AW40" s="20">
        <v>4752148</v>
      </c>
      <c r="AX40" s="20">
        <v>4791863</v>
      </c>
      <c r="AY40" s="18">
        <v>4851206</v>
      </c>
      <c r="AZ40" s="20">
        <v>4946723</v>
      </c>
      <c r="BA40" s="18">
        <v>4948283.0130000003</v>
      </c>
      <c r="BB40" s="18">
        <v>5024671</v>
      </c>
      <c r="BC40" s="18">
        <v>5114345</v>
      </c>
      <c r="BD40" s="18">
        <v>5122303</v>
      </c>
      <c r="BE40" s="21">
        <v>5155916</v>
      </c>
      <c r="BF40" s="21">
        <v>5060977</v>
      </c>
      <c r="BG40" s="21">
        <v>4946216</v>
      </c>
      <c r="BH40" s="21">
        <v>5007407</v>
      </c>
      <c r="BI40" s="22">
        <v>4937175</v>
      </c>
      <c r="BJ40" s="21">
        <v>5007681</v>
      </c>
      <c r="BK40" s="18">
        <v>5021446</v>
      </c>
      <c r="BL40" s="23">
        <v>4973428</v>
      </c>
      <c r="BM40" s="23">
        <v>4896324</v>
      </c>
      <c r="BN40" s="23">
        <v>4867977</v>
      </c>
      <c r="BO40" s="23">
        <v>4940851</v>
      </c>
      <c r="BP40" s="23">
        <v>4641448</v>
      </c>
      <c r="BQ40" s="23">
        <v>4728554</v>
      </c>
      <c r="BR40" s="23">
        <v>4765273</v>
      </c>
      <c r="BS40" s="53">
        <v>4619623</v>
      </c>
      <c r="BT40" s="53">
        <v>4679656</v>
      </c>
      <c r="BU40" s="53">
        <v>3973442</v>
      </c>
      <c r="BV40" s="53">
        <v>4341255</v>
      </c>
    </row>
    <row r="41" spans="1:74" ht="9.25" customHeight="1">
      <c r="A41" s="34" t="s">
        <v>36</v>
      </c>
      <c r="B41" s="35">
        <v>148589</v>
      </c>
      <c r="C41" s="35">
        <v>157357</v>
      </c>
      <c r="D41" s="35">
        <v>163740</v>
      </c>
      <c r="E41" s="35">
        <v>175471</v>
      </c>
      <c r="F41" s="35">
        <v>189726</v>
      </c>
      <c r="G41" s="35">
        <v>206239</v>
      </c>
      <c r="H41" s="35">
        <v>223666</v>
      </c>
      <c r="I41" s="35">
        <v>226898</v>
      </c>
      <c r="J41" s="35">
        <v>234338</v>
      </c>
      <c r="K41" s="35">
        <v>237204</v>
      </c>
      <c r="L41" s="35">
        <v>240185</v>
      </c>
      <c r="M41" s="35">
        <v>240789</v>
      </c>
      <c r="N41" s="35">
        <v>243980</v>
      </c>
      <c r="O41" s="35">
        <v>249205</v>
      </c>
      <c r="P41" s="35">
        <v>256438</v>
      </c>
      <c r="Q41" s="35">
        <v>262441</v>
      </c>
      <c r="R41" s="35">
        <v>270799</v>
      </c>
      <c r="S41" s="35">
        <v>278380</v>
      </c>
      <c r="T41" s="35">
        <v>285162</v>
      </c>
      <c r="U41" s="35">
        <v>302527</v>
      </c>
      <c r="V41" s="35">
        <v>312116</v>
      </c>
      <c r="W41" s="35">
        <v>333883</v>
      </c>
      <c r="X41" s="35">
        <v>343355</v>
      </c>
      <c r="Y41" s="35">
        <v>361138</v>
      </c>
      <c r="Z41" s="35">
        <v>361125</v>
      </c>
      <c r="AA41" s="35">
        <v>356898</v>
      </c>
      <c r="AB41" s="35">
        <v>369848</v>
      </c>
      <c r="AC41" s="35">
        <v>365558</v>
      </c>
      <c r="AD41" s="35">
        <v>383071</v>
      </c>
      <c r="AE41" s="35">
        <v>380347</v>
      </c>
      <c r="AF41" s="35">
        <v>376311</v>
      </c>
      <c r="AG41" s="35">
        <v>354082</v>
      </c>
      <c r="AH41" s="35">
        <v>353225</v>
      </c>
      <c r="AI41" s="35">
        <v>346636</v>
      </c>
      <c r="AJ41" s="35">
        <v>343169</v>
      </c>
      <c r="AK41" s="35">
        <v>361609</v>
      </c>
      <c r="AL41" s="35">
        <v>360074</v>
      </c>
      <c r="AM41" s="35">
        <v>373033</v>
      </c>
      <c r="AN41" s="35">
        <v>378088</v>
      </c>
      <c r="AO41" s="35">
        <v>380221</v>
      </c>
      <c r="AP41" s="35">
        <v>366267</v>
      </c>
      <c r="AQ41" s="35">
        <v>360748</v>
      </c>
      <c r="AR41" s="42">
        <v>353938</v>
      </c>
      <c r="AS41" s="43">
        <v>364295</v>
      </c>
      <c r="AT41" s="43">
        <v>373110</v>
      </c>
      <c r="AU41" s="44">
        <v>362921</v>
      </c>
      <c r="AV41" s="44">
        <v>370256</v>
      </c>
      <c r="AW41" s="45">
        <v>376228</v>
      </c>
      <c r="AX41" s="45">
        <v>384052</v>
      </c>
      <c r="AY41" s="44">
        <v>392399</v>
      </c>
      <c r="AZ41" s="45">
        <v>404530</v>
      </c>
      <c r="BA41" s="44">
        <v>396484.68900000001</v>
      </c>
      <c r="BB41" s="44">
        <v>399113</v>
      </c>
      <c r="BC41" s="44">
        <v>389921</v>
      </c>
      <c r="BD41" s="44">
        <v>392650</v>
      </c>
      <c r="BE41" s="46">
        <v>376088</v>
      </c>
      <c r="BF41" s="46">
        <v>376088</v>
      </c>
      <c r="BG41" s="46">
        <v>396707</v>
      </c>
      <c r="BH41" s="46">
        <v>389070</v>
      </c>
      <c r="BI41" s="47">
        <v>393963</v>
      </c>
      <c r="BJ41" s="46">
        <v>381644</v>
      </c>
      <c r="BK41" s="44">
        <v>383501</v>
      </c>
      <c r="BL41" s="48">
        <v>364057</v>
      </c>
      <c r="BM41" s="48">
        <v>354491</v>
      </c>
      <c r="BN41" s="48">
        <v>352265</v>
      </c>
      <c r="BO41" s="48">
        <v>366174</v>
      </c>
      <c r="BP41" s="48">
        <v>359531</v>
      </c>
      <c r="BQ41" s="48">
        <v>354875</v>
      </c>
      <c r="BR41" s="48">
        <v>353657</v>
      </c>
      <c r="BS41" s="54">
        <v>370134</v>
      </c>
      <c r="BT41" s="54">
        <v>366451</v>
      </c>
      <c r="BU41" s="54">
        <v>304203</v>
      </c>
      <c r="BV41" s="54">
        <v>331956</v>
      </c>
    </row>
    <row r="42" spans="1:74" ht="9.25" customHeight="1">
      <c r="A42" s="14" t="s">
        <v>37</v>
      </c>
      <c r="B42" s="15">
        <v>380395</v>
      </c>
      <c r="C42" s="15">
        <v>422661</v>
      </c>
      <c r="D42" s="15">
        <v>467034</v>
      </c>
      <c r="E42" s="15">
        <v>518385</v>
      </c>
      <c r="F42" s="15">
        <v>530458</v>
      </c>
      <c r="G42" s="15">
        <v>551816</v>
      </c>
      <c r="H42" s="15">
        <v>589377</v>
      </c>
      <c r="I42" s="15">
        <v>623779</v>
      </c>
      <c r="J42" s="15">
        <v>635608</v>
      </c>
      <c r="K42" s="15">
        <v>654033</v>
      </c>
      <c r="L42" s="15">
        <v>690074</v>
      </c>
      <c r="M42" s="15">
        <v>698101</v>
      </c>
      <c r="N42" s="15">
        <v>712459</v>
      </c>
      <c r="O42" s="15">
        <v>743420</v>
      </c>
      <c r="P42" s="15">
        <v>777253</v>
      </c>
      <c r="Q42" s="15">
        <v>815400</v>
      </c>
      <c r="R42" s="15">
        <v>866029</v>
      </c>
      <c r="S42" s="15">
        <v>913347</v>
      </c>
      <c r="T42" s="15">
        <v>960057</v>
      </c>
      <c r="U42" s="15">
        <v>1037172</v>
      </c>
      <c r="V42" s="15">
        <v>1110805</v>
      </c>
      <c r="W42" s="15">
        <v>1182637</v>
      </c>
      <c r="X42" s="15">
        <v>1268488</v>
      </c>
      <c r="Y42" s="15">
        <v>1378293</v>
      </c>
      <c r="Z42" s="15">
        <v>1443958</v>
      </c>
      <c r="AA42" s="15">
        <v>1410119</v>
      </c>
      <c r="AB42" s="15">
        <v>1461709</v>
      </c>
      <c r="AC42" s="15">
        <v>1555872</v>
      </c>
      <c r="AD42" s="15">
        <v>1592825</v>
      </c>
      <c r="AE42" s="15">
        <v>1676306</v>
      </c>
      <c r="AF42" s="15">
        <v>1611724</v>
      </c>
      <c r="AG42" s="15">
        <v>1506186</v>
      </c>
      <c r="AH42" s="15">
        <v>1487664</v>
      </c>
      <c r="AI42" s="15">
        <v>1473121</v>
      </c>
      <c r="AJ42" s="15">
        <v>1494774</v>
      </c>
      <c r="AK42" s="15">
        <v>1538453</v>
      </c>
      <c r="AL42" s="15">
        <v>1555786</v>
      </c>
      <c r="AM42" s="15">
        <v>1615983</v>
      </c>
      <c r="AN42" s="15">
        <v>1565371</v>
      </c>
      <c r="AO42" s="15">
        <v>1732495</v>
      </c>
      <c r="AP42" s="15">
        <v>1717106</v>
      </c>
      <c r="AQ42" s="15">
        <v>1766652</v>
      </c>
      <c r="AR42" s="16">
        <v>1715726</v>
      </c>
      <c r="AS42" s="17">
        <v>1782673</v>
      </c>
      <c r="AT42" s="17">
        <v>1884415</v>
      </c>
      <c r="AU42" s="18">
        <v>1892959</v>
      </c>
      <c r="AV42" s="18">
        <v>1941678</v>
      </c>
      <c r="AW42" s="20">
        <v>1969738</v>
      </c>
      <c r="AX42" s="20">
        <v>2055233</v>
      </c>
      <c r="AY42" s="18">
        <v>2130119</v>
      </c>
      <c r="AZ42" s="20">
        <v>2213438</v>
      </c>
      <c r="BA42" s="18">
        <v>2211716.6830000002</v>
      </c>
      <c r="BB42" s="18">
        <v>2217141</v>
      </c>
      <c r="BC42" s="18">
        <v>2269954</v>
      </c>
      <c r="BD42" s="18">
        <v>2307855</v>
      </c>
      <c r="BE42" s="21">
        <v>2530071</v>
      </c>
      <c r="BF42" s="21">
        <v>2394662</v>
      </c>
      <c r="BG42" s="21">
        <v>2466168</v>
      </c>
      <c r="BH42" s="21">
        <v>2451093</v>
      </c>
      <c r="BI42" s="22">
        <v>2497091</v>
      </c>
      <c r="BJ42" s="21">
        <v>2641882</v>
      </c>
      <c r="BK42" s="18">
        <v>2574404</v>
      </c>
      <c r="BL42" s="23">
        <v>2521079</v>
      </c>
      <c r="BM42" s="23">
        <v>2575046</v>
      </c>
      <c r="BN42" s="23">
        <v>2596930</v>
      </c>
      <c r="BO42" s="23">
        <v>2644467</v>
      </c>
      <c r="BP42" s="23">
        <v>2631987.0029479703</v>
      </c>
      <c r="BQ42" s="23">
        <v>2677649</v>
      </c>
      <c r="BR42" s="23">
        <v>2697536</v>
      </c>
      <c r="BS42" s="52">
        <v>2646947</v>
      </c>
      <c r="BT42" s="52">
        <v>2669735</v>
      </c>
      <c r="BU42" s="52">
        <v>2343003</v>
      </c>
      <c r="BV42" s="52">
        <v>2567636</v>
      </c>
    </row>
    <row r="43" spans="1:74" ht="9.25" customHeight="1">
      <c r="A43" s="14" t="s">
        <v>38</v>
      </c>
      <c r="B43" s="15">
        <v>168577</v>
      </c>
      <c r="C43" s="15">
        <v>187799</v>
      </c>
      <c r="D43" s="15">
        <v>198595</v>
      </c>
      <c r="E43" s="15">
        <v>174903</v>
      </c>
      <c r="F43" s="15">
        <v>209398</v>
      </c>
      <c r="G43" s="15">
        <v>223262</v>
      </c>
      <c r="H43" s="15">
        <v>202440</v>
      </c>
      <c r="I43" s="15">
        <v>223421</v>
      </c>
      <c r="J43" s="15">
        <v>220028</v>
      </c>
      <c r="K43" s="15">
        <v>218719</v>
      </c>
      <c r="L43" s="15">
        <v>237852</v>
      </c>
      <c r="M43" s="15">
        <v>239902</v>
      </c>
      <c r="N43" s="15">
        <v>249921</v>
      </c>
      <c r="O43" s="15">
        <v>260477</v>
      </c>
      <c r="P43" s="15">
        <v>265423</v>
      </c>
      <c r="Q43" s="15">
        <v>263633</v>
      </c>
      <c r="R43" s="15">
        <v>271304</v>
      </c>
      <c r="S43" s="15">
        <v>276741</v>
      </c>
      <c r="T43" s="15">
        <v>284040</v>
      </c>
      <c r="U43" s="15">
        <v>296994</v>
      </c>
      <c r="V43" s="15">
        <v>296921</v>
      </c>
      <c r="W43" s="15">
        <v>321227</v>
      </c>
      <c r="X43" s="15">
        <v>345484</v>
      </c>
      <c r="Y43" s="15">
        <v>383971</v>
      </c>
      <c r="Z43" s="15">
        <v>376855</v>
      </c>
      <c r="AA43" s="15">
        <v>361160</v>
      </c>
      <c r="AB43" s="15">
        <v>375028</v>
      </c>
      <c r="AC43" s="15">
        <v>398553</v>
      </c>
      <c r="AD43" s="15">
        <v>413606</v>
      </c>
      <c r="AE43" s="15">
        <v>406989</v>
      </c>
      <c r="AF43" s="15">
        <v>389613</v>
      </c>
      <c r="AG43" s="15">
        <v>350667</v>
      </c>
      <c r="AH43" s="15">
        <v>335177</v>
      </c>
      <c r="AI43" s="15">
        <v>330997</v>
      </c>
      <c r="AJ43" s="15">
        <v>323406</v>
      </c>
      <c r="AK43" s="15">
        <v>331537</v>
      </c>
      <c r="AL43" s="15">
        <v>363026</v>
      </c>
      <c r="AM43" s="15">
        <v>353367</v>
      </c>
      <c r="AN43" s="15">
        <v>350085</v>
      </c>
      <c r="AO43" s="15">
        <v>357635</v>
      </c>
      <c r="AP43" s="15">
        <v>359096</v>
      </c>
      <c r="AQ43" s="15">
        <v>358187</v>
      </c>
      <c r="AR43" s="16">
        <v>361926</v>
      </c>
      <c r="AS43" s="17">
        <v>379556</v>
      </c>
      <c r="AT43" s="17">
        <v>381557</v>
      </c>
      <c r="AU43" s="18">
        <v>396961</v>
      </c>
      <c r="AV43" s="18">
        <v>395581</v>
      </c>
      <c r="AW43" s="20">
        <v>403685</v>
      </c>
      <c r="AX43" s="20">
        <v>403356</v>
      </c>
      <c r="AY43" s="18">
        <v>422492</v>
      </c>
      <c r="AZ43" s="20">
        <v>418430</v>
      </c>
      <c r="BA43" s="18">
        <v>415460.61300000001</v>
      </c>
      <c r="BB43" s="18">
        <v>402472</v>
      </c>
      <c r="BC43" s="18">
        <v>418671</v>
      </c>
      <c r="BD43" s="18">
        <v>406051</v>
      </c>
      <c r="BE43" s="21">
        <v>400765</v>
      </c>
      <c r="BF43" s="21">
        <v>392059</v>
      </c>
      <c r="BG43" s="21">
        <v>383126</v>
      </c>
      <c r="BH43" s="21">
        <v>398681</v>
      </c>
      <c r="BI43" s="22">
        <v>395566</v>
      </c>
      <c r="BJ43" s="21">
        <v>426431</v>
      </c>
      <c r="BK43" s="18">
        <v>425682</v>
      </c>
      <c r="BL43" s="23">
        <v>430264</v>
      </c>
      <c r="BM43" s="23">
        <v>438532</v>
      </c>
      <c r="BN43" s="23">
        <v>424964</v>
      </c>
      <c r="BO43" s="23">
        <v>454382</v>
      </c>
      <c r="BP43" s="23">
        <v>435823</v>
      </c>
      <c r="BQ43" s="23">
        <v>453878</v>
      </c>
      <c r="BR43" s="23">
        <v>447820</v>
      </c>
      <c r="BS43" s="53">
        <v>445813</v>
      </c>
      <c r="BT43" s="53">
        <v>435583</v>
      </c>
      <c r="BU43" s="53">
        <v>422257</v>
      </c>
      <c r="BV43" s="53">
        <v>466715</v>
      </c>
    </row>
    <row r="44" spans="1:74" ht="8.9" customHeight="1">
      <c r="A44" s="14" t="s">
        <v>39</v>
      </c>
      <c r="B44" s="15">
        <v>575000</v>
      </c>
      <c r="C44" s="15">
        <v>633331</v>
      </c>
      <c r="D44" s="15">
        <v>693618</v>
      </c>
      <c r="E44" s="15">
        <v>738831</v>
      </c>
      <c r="F44" s="15">
        <v>783228</v>
      </c>
      <c r="G44" s="15">
        <v>828922</v>
      </c>
      <c r="H44" s="15">
        <v>877009</v>
      </c>
      <c r="I44" s="15">
        <v>927326</v>
      </c>
      <c r="J44" s="15">
        <v>944984</v>
      </c>
      <c r="K44" s="15">
        <v>993108</v>
      </c>
      <c r="L44" s="15">
        <v>1055177</v>
      </c>
      <c r="M44" s="15">
        <v>1074514</v>
      </c>
      <c r="N44" s="15">
        <v>1114234</v>
      </c>
      <c r="O44" s="15">
        <v>1166401</v>
      </c>
      <c r="P44" s="15">
        <v>1204748</v>
      </c>
      <c r="Q44" s="15">
        <v>1280179</v>
      </c>
      <c r="R44" s="15">
        <v>1333426</v>
      </c>
      <c r="S44" s="15">
        <v>1417671</v>
      </c>
      <c r="T44" s="15">
        <v>1499481</v>
      </c>
      <c r="U44" s="15">
        <v>1570402</v>
      </c>
      <c r="V44" s="15">
        <v>1675629</v>
      </c>
      <c r="W44" s="15">
        <v>1727989</v>
      </c>
      <c r="X44" s="15">
        <v>1855602</v>
      </c>
      <c r="Y44" s="15">
        <v>2029809</v>
      </c>
      <c r="Z44" s="15">
        <v>2199125</v>
      </c>
      <c r="AA44" s="15">
        <v>2116329</v>
      </c>
      <c r="AB44" s="15">
        <v>2221267</v>
      </c>
      <c r="AC44" s="15">
        <v>2342448</v>
      </c>
      <c r="AD44" s="15">
        <v>2403912</v>
      </c>
      <c r="AE44" s="15">
        <v>2516965</v>
      </c>
      <c r="AF44" s="15">
        <v>2431083</v>
      </c>
      <c r="AG44" s="15">
        <v>2330051</v>
      </c>
      <c r="AH44" s="15">
        <v>2279831</v>
      </c>
      <c r="AI44" s="15">
        <v>2263193</v>
      </c>
      <c r="AJ44" s="15">
        <v>2239771</v>
      </c>
      <c r="AK44" s="15">
        <v>2385707</v>
      </c>
      <c r="AL44" s="15">
        <v>2434154</v>
      </c>
      <c r="AM44" s="15">
        <v>2531557</v>
      </c>
      <c r="AN44" s="15">
        <v>2389397</v>
      </c>
      <c r="AO44" s="15">
        <v>2441696</v>
      </c>
      <c r="AP44" s="15">
        <v>2495173</v>
      </c>
      <c r="AQ44" s="15">
        <v>2418720</v>
      </c>
      <c r="AR44" s="16">
        <v>2321430</v>
      </c>
      <c r="AS44" s="17">
        <v>2457839</v>
      </c>
      <c r="AT44" s="17">
        <v>2548678</v>
      </c>
      <c r="AU44" s="18">
        <v>2627829</v>
      </c>
      <c r="AV44" s="18">
        <v>2669902</v>
      </c>
      <c r="AW44" s="20">
        <v>2683524</v>
      </c>
      <c r="AX44" s="20">
        <v>2736172</v>
      </c>
      <c r="AY44" s="18">
        <v>2805557</v>
      </c>
      <c r="AZ44" s="20">
        <v>2923280</v>
      </c>
      <c r="BA44" s="18">
        <v>2868431.193</v>
      </c>
      <c r="BB44" s="18">
        <v>2837567</v>
      </c>
      <c r="BC44" s="18">
        <v>2988611</v>
      </c>
      <c r="BD44" s="18">
        <v>3023341</v>
      </c>
      <c r="BE44" s="21">
        <v>3007782</v>
      </c>
      <c r="BF44" s="21">
        <v>3026967</v>
      </c>
      <c r="BG44" s="21">
        <v>3008172</v>
      </c>
      <c r="BH44" s="21">
        <v>3028297</v>
      </c>
      <c r="BI44" s="22">
        <v>2981939</v>
      </c>
      <c r="BJ44" s="21">
        <v>3069498</v>
      </c>
      <c r="BK44" s="18">
        <v>3147249</v>
      </c>
      <c r="BL44" s="23">
        <v>3127071</v>
      </c>
      <c r="BM44" s="23">
        <v>3074272</v>
      </c>
      <c r="BN44" s="23">
        <v>3074564</v>
      </c>
      <c r="BO44" s="23">
        <v>3225836</v>
      </c>
      <c r="BP44" s="23">
        <v>3061397</v>
      </c>
      <c r="BQ44" s="23">
        <v>3262875</v>
      </c>
      <c r="BR44" s="23">
        <v>3273070</v>
      </c>
      <c r="BS44" s="53">
        <v>3210705</v>
      </c>
      <c r="BT44" s="53">
        <v>3278392</v>
      </c>
      <c r="BU44" s="53">
        <v>2986014</v>
      </c>
      <c r="BV44" s="53">
        <v>3221978</v>
      </c>
    </row>
    <row r="45" spans="1:74" ht="8.25" customHeight="1">
      <c r="A45" s="14" t="s">
        <v>40</v>
      </c>
      <c r="B45" s="15">
        <v>2052589</v>
      </c>
      <c r="C45" s="15">
        <v>2338626</v>
      </c>
      <c r="D45" s="15">
        <v>2464730</v>
      </c>
      <c r="E45" s="15">
        <v>2652981</v>
      </c>
      <c r="F45" s="15">
        <v>2753323</v>
      </c>
      <c r="G45" s="15">
        <v>2858382</v>
      </c>
      <c r="H45" s="15">
        <v>3079810</v>
      </c>
      <c r="I45" s="15">
        <v>3165195</v>
      </c>
      <c r="J45" s="15">
        <v>3238258</v>
      </c>
      <c r="K45" s="15">
        <v>3356776</v>
      </c>
      <c r="L45" s="15">
        <v>3524357</v>
      </c>
      <c r="M45" s="15">
        <v>3547412</v>
      </c>
      <c r="N45" s="15">
        <v>3673157</v>
      </c>
      <c r="O45" s="15">
        <v>3817243</v>
      </c>
      <c r="P45" s="15">
        <v>3995715</v>
      </c>
      <c r="Q45" s="15">
        <v>4235246</v>
      </c>
      <c r="R45" s="15">
        <v>4395994</v>
      </c>
      <c r="S45" s="15">
        <v>4607154</v>
      </c>
      <c r="T45" s="15">
        <v>4817042</v>
      </c>
      <c r="U45" s="15">
        <v>5186039</v>
      </c>
      <c r="V45" s="15">
        <v>5534310</v>
      </c>
      <c r="W45" s="15">
        <v>5841071</v>
      </c>
      <c r="X45" s="15">
        <v>6192379</v>
      </c>
      <c r="Y45" s="15">
        <v>6694102</v>
      </c>
      <c r="Z45" s="15">
        <v>7111664</v>
      </c>
      <c r="AA45" s="15">
        <v>6885193</v>
      </c>
      <c r="AB45" s="15">
        <v>7260853</v>
      </c>
      <c r="AC45" s="15">
        <v>7734510</v>
      </c>
      <c r="AD45" s="15">
        <v>8137686</v>
      </c>
      <c r="AE45" s="15">
        <v>8485510</v>
      </c>
      <c r="AF45" s="15">
        <v>8327480</v>
      </c>
      <c r="AG45" s="15">
        <v>7623452</v>
      </c>
      <c r="AH45" s="15">
        <v>7783430</v>
      </c>
      <c r="AI45" s="15">
        <v>7969555</v>
      </c>
      <c r="AJ45" s="15">
        <v>8115147</v>
      </c>
      <c r="AK45" s="15">
        <v>8170141</v>
      </c>
      <c r="AL45" s="15">
        <v>8476326</v>
      </c>
      <c r="AM45" s="15">
        <v>8657425</v>
      </c>
      <c r="AN45" s="15">
        <v>8409515</v>
      </c>
      <c r="AO45" s="15">
        <v>8479910</v>
      </c>
      <c r="AP45" s="15">
        <v>8330547</v>
      </c>
      <c r="AQ45" s="15">
        <v>8452733</v>
      </c>
      <c r="AR45" s="16">
        <v>8117110</v>
      </c>
      <c r="AS45" s="17">
        <v>8320889</v>
      </c>
      <c r="AT45" s="17">
        <v>8638601</v>
      </c>
      <c r="AU45" s="18">
        <v>9120113</v>
      </c>
      <c r="AV45" s="18">
        <v>8770076</v>
      </c>
      <c r="AW45" s="20">
        <v>9358859</v>
      </c>
      <c r="AX45" s="20">
        <v>9295508</v>
      </c>
      <c r="AY45" s="18">
        <v>9759340</v>
      </c>
      <c r="AZ45" s="20">
        <v>10198884</v>
      </c>
      <c r="BA45" s="18">
        <v>10428048.758000001</v>
      </c>
      <c r="BB45" s="18">
        <v>10637488</v>
      </c>
      <c r="BC45" s="18">
        <v>11115753</v>
      </c>
      <c r="BD45" s="18">
        <v>11199718</v>
      </c>
      <c r="BE45" s="21">
        <v>11346013</v>
      </c>
      <c r="BF45" s="21">
        <v>11325869</v>
      </c>
      <c r="BG45" s="21">
        <v>11473456</v>
      </c>
      <c r="BH45" s="21">
        <v>11731042</v>
      </c>
      <c r="BI45" s="22">
        <v>11665478</v>
      </c>
      <c r="BJ45" s="21">
        <v>11813364</v>
      </c>
      <c r="BK45" s="18">
        <v>12000186</v>
      </c>
      <c r="BL45" s="23">
        <v>11921633</v>
      </c>
      <c r="BM45" s="23">
        <v>12143805</v>
      </c>
      <c r="BN45" s="23">
        <v>12322995</v>
      </c>
      <c r="BO45" s="23">
        <v>13254716</v>
      </c>
      <c r="BP45" s="23">
        <v>13254716</v>
      </c>
      <c r="BQ45" s="23">
        <v>13701466</v>
      </c>
      <c r="BR45" s="23">
        <v>13796629</v>
      </c>
      <c r="BS45" s="54">
        <v>14045145</v>
      </c>
      <c r="BT45" s="54">
        <v>14271917</v>
      </c>
      <c r="BU45" s="54">
        <v>12291098</v>
      </c>
      <c r="BV45" s="54">
        <v>13648586</v>
      </c>
    </row>
    <row r="46" spans="1:74" ht="9.25" customHeight="1">
      <c r="A46" s="32" t="s">
        <v>41</v>
      </c>
      <c r="B46" s="33">
        <v>168251</v>
      </c>
      <c r="C46" s="33">
        <v>184424</v>
      </c>
      <c r="D46" s="33">
        <v>191597</v>
      </c>
      <c r="E46" s="33">
        <v>196473</v>
      </c>
      <c r="F46" s="33">
        <v>202284</v>
      </c>
      <c r="G46" s="33">
        <v>210044</v>
      </c>
      <c r="H46" s="33">
        <v>225807</v>
      </c>
      <c r="I46" s="33">
        <v>251341</v>
      </c>
      <c r="J46" s="33">
        <v>261334</v>
      </c>
      <c r="K46" s="33">
        <v>272484</v>
      </c>
      <c r="L46" s="33">
        <v>280912</v>
      </c>
      <c r="M46" s="33">
        <v>293614</v>
      </c>
      <c r="N46" s="33">
        <v>306159</v>
      </c>
      <c r="O46" s="33">
        <v>321764</v>
      </c>
      <c r="P46" s="33">
        <v>334500</v>
      </c>
      <c r="Q46" s="33">
        <v>348604</v>
      </c>
      <c r="R46" s="33">
        <v>358750</v>
      </c>
      <c r="S46" s="33">
        <v>381714</v>
      </c>
      <c r="T46" s="33">
        <v>391336</v>
      </c>
      <c r="U46" s="33">
        <v>425282</v>
      </c>
      <c r="V46" s="33">
        <v>463109</v>
      </c>
      <c r="W46" s="33">
        <v>497692</v>
      </c>
      <c r="X46" s="33">
        <v>530236</v>
      </c>
      <c r="Y46" s="33">
        <v>579535</v>
      </c>
      <c r="Z46" s="33">
        <v>602787</v>
      </c>
      <c r="AA46" s="33">
        <v>587754</v>
      </c>
      <c r="AB46" s="33">
        <v>610772</v>
      </c>
      <c r="AC46" s="33">
        <v>644161</v>
      </c>
      <c r="AD46" s="33">
        <v>677301</v>
      </c>
      <c r="AE46" s="33">
        <v>724432</v>
      </c>
      <c r="AF46" s="33">
        <v>693272</v>
      </c>
      <c r="AG46" s="33">
        <v>656475</v>
      </c>
      <c r="AH46" s="33">
        <v>647099</v>
      </c>
      <c r="AI46" s="33">
        <v>652228</v>
      </c>
      <c r="AJ46" s="33">
        <v>658622</v>
      </c>
      <c r="AK46" s="33">
        <v>675168</v>
      </c>
      <c r="AL46" s="33">
        <v>680468</v>
      </c>
      <c r="AM46" s="33">
        <v>737411</v>
      </c>
      <c r="AN46" s="33">
        <v>734528</v>
      </c>
      <c r="AO46" s="33">
        <v>750792</v>
      </c>
      <c r="AP46" s="33">
        <v>723385</v>
      </c>
      <c r="AQ46" s="33">
        <v>699331</v>
      </c>
      <c r="AR46" s="36">
        <v>722305</v>
      </c>
      <c r="AS46" s="37">
        <v>753542</v>
      </c>
      <c r="AT46" s="37">
        <v>785238</v>
      </c>
      <c r="AU46" s="38">
        <v>808753</v>
      </c>
      <c r="AV46" s="38">
        <v>853987</v>
      </c>
      <c r="AW46" s="19">
        <v>874654</v>
      </c>
      <c r="AX46" s="19">
        <v>911464</v>
      </c>
      <c r="AY46" s="38">
        <v>944567</v>
      </c>
      <c r="AZ46" s="19">
        <v>968927</v>
      </c>
      <c r="BA46" s="38">
        <v>995197.65699999989</v>
      </c>
      <c r="BB46" s="38">
        <v>945531</v>
      </c>
      <c r="BC46" s="38">
        <v>992923</v>
      </c>
      <c r="BD46" s="38">
        <v>1002977</v>
      </c>
      <c r="BE46" s="39">
        <v>1011839</v>
      </c>
      <c r="BF46" s="39">
        <v>996759</v>
      </c>
      <c r="BG46" s="39">
        <v>1010554</v>
      </c>
      <c r="BH46" s="39">
        <v>1041844</v>
      </c>
      <c r="BI46" s="40">
        <v>1016729</v>
      </c>
      <c r="BJ46" s="39">
        <v>1023096</v>
      </c>
      <c r="BK46" s="38">
        <v>1012192</v>
      </c>
      <c r="BL46" s="41">
        <v>1053856</v>
      </c>
      <c r="BM46" s="41">
        <v>1036479</v>
      </c>
      <c r="BN46" s="41">
        <v>1057660</v>
      </c>
      <c r="BO46" s="41">
        <v>1114217</v>
      </c>
      <c r="BP46" s="41">
        <v>1043907</v>
      </c>
      <c r="BQ46" s="41">
        <v>1135463</v>
      </c>
      <c r="BR46" s="41">
        <v>1144817</v>
      </c>
      <c r="BS46" s="52">
        <v>1141648</v>
      </c>
      <c r="BT46" s="52">
        <v>1190445</v>
      </c>
      <c r="BU46" s="52">
        <v>1099325</v>
      </c>
      <c r="BV46" s="52">
        <v>1166560</v>
      </c>
    </row>
    <row r="47" spans="1:74" ht="9.25" customHeight="1">
      <c r="A47" s="14" t="s">
        <v>42</v>
      </c>
      <c r="B47" s="15">
        <v>89336</v>
      </c>
      <c r="C47" s="15">
        <v>93370</v>
      </c>
      <c r="D47" s="15">
        <v>96818</v>
      </c>
      <c r="E47" s="15">
        <v>102349</v>
      </c>
      <c r="F47" s="15">
        <v>107869</v>
      </c>
      <c r="G47" s="15">
        <v>109840</v>
      </c>
      <c r="H47" s="15">
        <v>114465</v>
      </c>
      <c r="I47" s="15">
        <v>117138</v>
      </c>
      <c r="J47" s="15">
        <v>119010</v>
      </c>
      <c r="K47" s="15">
        <v>121246</v>
      </c>
      <c r="L47" s="15">
        <v>126127</v>
      </c>
      <c r="M47" s="15">
        <v>130122</v>
      </c>
      <c r="N47" s="15">
        <v>131703</v>
      </c>
      <c r="O47" s="15">
        <v>135639</v>
      </c>
      <c r="P47" s="15">
        <v>140395</v>
      </c>
      <c r="Q47" s="15">
        <v>145365</v>
      </c>
      <c r="R47" s="15">
        <v>154068</v>
      </c>
      <c r="S47" s="15">
        <v>163163</v>
      </c>
      <c r="T47" s="15">
        <v>175236</v>
      </c>
      <c r="U47" s="15">
        <v>185247</v>
      </c>
      <c r="V47" s="15">
        <v>194584</v>
      </c>
      <c r="W47" s="15">
        <v>208961</v>
      </c>
      <c r="X47" s="15">
        <v>221932</v>
      </c>
      <c r="Y47" s="15">
        <v>237794</v>
      </c>
      <c r="Z47" s="15">
        <v>240300</v>
      </c>
      <c r="AA47" s="15">
        <v>230145</v>
      </c>
      <c r="AB47" s="15">
        <v>233592</v>
      </c>
      <c r="AC47" s="15">
        <v>248648</v>
      </c>
      <c r="AD47" s="15">
        <v>254005</v>
      </c>
      <c r="AE47" s="15">
        <v>263483</v>
      </c>
      <c r="AF47" s="15">
        <v>247240</v>
      </c>
      <c r="AG47" s="15">
        <v>230666</v>
      </c>
      <c r="AH47" s="15">
        <v>230334</v>
      </c>
      <c r="AI47" s="15">
        <v>229768</v>
      </c>
      <c r="AJ47" s="15">
        <v>231684</v>
      </c>
      <c r="AK47" s="15">
        <v>240683</v>
      </c>
      <c r="AL47" s="15">
        <v>241106</v>
      </c>
      <c r="AM47" s="15">
        <v>247510</v>
      </c>
      <c r="AN47" s="15">
        <v>269364</v>
      </c>
      <c r="AO47" s="15">
        <v>278292</v>
      </c>
      <c r="AP47" s="15">
        <v>270460</v>
      </c>
      <c r="AQ47" s="15">
        <v>279248</v>
      </c>
      <c r="AR47" s="16">
        <v>279974</v>
      </c>
      <c r="AS47" s="17">
        <v>287895</v>
      </c>
      <c r="AT47" s="17">
        <v>296796</v>
      </c>
      <c r="AU47" s="18">
        <v>299336</v>
      </c>
      <c r="AV47" s="18">
        <v>297653</v>
      </c>
      <c r="AW47" s="20">
        <v>304259</v>
      </c>
      <c r="AX47" s="20">
        <v>315849</v>
      </c>
      <c r="AY47" s="18">
        <v>312495</v>
      </c>
      <c r="AZ47" s="20">
        <v>322524</v>
      </c>
      <c r="BA47" s="18">
        <v>350397.37300000002</v>
      </c>
      <c r="BB47" s="18">
        <v>331183</v>
      </c>
      <c r="BC47" s="18">
        <v>336431</v>
      </c>
      <c r="BD47" s="18">
        <v>342580</v>
      </c>
      <c r="BE47" s="21">
        <v>343241</v>
      </c>
      <c r="BF47" s="21">
        <v>338943</v>
      </c>
      <c r="BG47" s="21">
        <v>333802</v>
      </c>
      <c r="BH47" s="21">
        <v>334230</v>
      </c>
      <c r="BI47" s="22">
        <v>322740</v>
      </c>
      <c r="BJ47" s="21">
        <v>322662</v>
      </c>
      <c r="BK47" s="18">
        <v>321269</v>
      </c>
      <c r="BL47" s="23">
        <v>313391</v>
      </c>
      <c r="BM47" s="23">
        <v>307001</v>
      </c>
      <c r="BN47" s="23">
        <v>309327</v>
      </c>
      <c r="BO47" s="23">
        <v>313443</v>
      </c>
      <c r="BP47" s="23">
        <v>292200</v>
      </c>
      <c r="BQ47" s="23">
        <v>293184</v>
      </c>
      <c r="BR47" s="23">
        <v>292359</v>
      </c>
      <c r="BS47" s="53">
        <v>268019</v>
      </c>
      <c r="BT47" s="53">
        <v>288944</v>
      </c>
      <c r="BU47" s="53">
        <v>236701</v>
      </c>
      <c r="BV47" s="53">
        <v>262557</v>
      </c>
    </row>
    <row r="48" spans="1:74" ht="9.25" customHeight="1">
      <c r="A48" s="14" t="s">
        <v>43</v>
      </c>
      <c r="B48" s="15">
        <v>670345</v>
      </c>
      <c r="C48" s="15">
        <v>749293</v>
      </c>
      <c r="D48" s="15">
        <v>815136</v>
      </c>
      <c r="E48" s="15">
        <v>873803</v>
      </c>
      <c r="F48" s="15">
        <v>918762</v>
      </c>
      <c r="G48" s="15">
        <v>940955</v>
      </c>
      <c r="H48" s="15">
        <v>1026912</v>
      </c>
      <c r="I48" s="15">
        <v>1099535</v>
      </c>
      <c r="J48" s="15">
        <v>1128752</v>
      </c>
      <c r="K48" s="15">
        <v>1161239</v>
      </c>
      <c r="L48" s="15">
        <v>1213655</v>
      </c>
      <c r="M48" s="15">
        <v>1214459</v>
      </c>
      <c r="N48" s="15">
        <v>1205876</v>
      </c>
      <c r="O48" s="15">
        <v>1268664</v>
      </c>
      <c r="P48" s="15">
        <v>1321282</v>
      </c>
      <c r="Q48" s="15">
        <v>1389911</v>
      </c>
      <c r="R48" s="15">
        <v>1467829</v>
      </c>
      <c r="S48" s="15">
        <v>1520593</v>
      </c>
      <c r="T48" s="15">
        <v>1599204</v>
      </c>
      <c r="U48" s="15">
        <v>1724993</v>
      </c>
      <c r="V48" s="15">
        <v>1903323</v>
      </c>
      <c r="W48" s="15">
        <v>2008791</v>
      </c>
      <c r="X48" s="15">
        <v>2156079</v>
      </c>
      <c r="Y48" s="15">
        <v>2314066</v>
      </c>
      <c r="Z48" s="15">
        <v>2446136</v>
      </c>
      <c r="AA48" s="15">
        <v>2374772</v>
      </c>
      <c r="AB48" s="15">
        <v>2450382</v>
      </c>
      <c r="AC48" s="15">
        <v>2600073</v>
      </c>
      <c r="AD48" s="15">
        <v>2686740</v>
      </c>
      <c r="AE48" s="15">
        <v>2795858</v>
      </c>
      <c r="AF48" s="15">
        <v>2675780</v>
      </c>
      <c r="AG48" s="15">
        <v>2509544</v>
      </c>
      <c r="AH48" s="15">
        <v>2467838</v>
      </c>
      <c r="AI48" s="15">
        <v>2424216</v>
      </c>
      <c r="AJ48" s="15">
        <v>2475414</v>
      </c>
      <c r="AK48" s="15">
        <v>2596363</v>
      </c>
      <c r="AL48" s="15">
        <v>2638515</v>
      </c>
      <c r="AM48" s="15">
        <v>2735830</v>
      </c>
      <c r="AN48" s="15">
        <v>2905352</v>
      </c>
      <c r="AO48" s="15">
        <v>2933666</v>
      </c>
      <c r="AP48" s="15">
        <v>2950255</v>
      </c>
      <c r="AQ48" s="15">
        <v>2938282</v>
      </c>
      <c r="AR48" s="16">
        <v>2927828</v>
      </c>
      <c r="AS48" s="17">
        <v>3008397</v>
      </c>
      <c r="AT48" s="17">
        <v>3092834</v>
      </c>
      <c r="AU48" s="18">
        <v>3146902</v>
      </c>
      <c r="AV48" s="18">
        <v>3264525</v>
      </c>
      <c r="AW48" s="20">
        <v>3293505</v>
      </c>
      <c r="AX48" s="20">
        <v>3388828</v>
      </c>
      <c r="AY48" s="18">
        <v>3419930</v>
      </c>
      <c r="AZ48" s="20">
        <v>3563551</v>
      </c>
      <c r="BA48" s="18">
        <v>3579713.6260000002</v>
      </c>
      <c r="BB48" s="18">
        <v>3765718</v>
      </c>
      <c r="BC48" s="18">
        <v>3792255</v>
      </c>
      <c r="BD48" s="18">
        <v>3871590</v>
      </c>
      <c r="BE48" s="21">
        <v>3904193</v>
      </c>
      <c r="BF48" s="21">
        <v>3879915</v>
      </c>
      <c r="BG48" s="21">
        <v>3904097</v>
      </c>
      <c r="BH48" s="21">
        <v>3999376</v>
      </c>
      <c r="BI48" s="22">
        <v>3873188</v>
      </c>
      <c r="BJ48" s="21">
        <v>3850969</v>
      </c>
      <c r="BK48" s="18">
        <v>3966279</v>
      </c>
      <c r="BL48" s="23">
        <v>3745606</v>
      </c>
      <c r="BM48" s="23">
        <v>3863108</v>
      </c>
      <c r="BN48" s="23">
        <v>3821222</v>
      </c>
      <c r="BO48" s="23">
        <v>3999288</v>
      </c>
      <c r="BP48" s="23">
        <v>3815962</v>
      </c>
      <c r="BQ48" s="23">
        <v>3895558</v>
      </c>
      <c r="BR48" s="23">
        <v>3916215</v>
      </c>
      <c r="BS48" s="53">
        <v>3919440</v>
      </c>
      <c r="BT48" s="53">
        <v>3919440</v>
      </c>
      <c r="BU48" s="53">
        <v>3497571</v>
      </c>
      <c r="BV48" s="53">
        <v>3819824</v>
      </c>
    </row>
    <row r="49" spans="1:74" ht="9.25" customHeight="1">
      <c r="A49" s="34" t="s">
        <v>44</v>
      </c>
      <c r="B49" s="35">
        <v>569250</v>
      </c>
      <c r="C49" s="35">
        <v>603878</v>
      </c>
      <c r="D49" s="35">
        <v>647470</v>
      </c>
      <c r="E49" s="35">
        <v>678868</v>
      </c>
      <c r="F49" s="35">
        <v>708274</v>
      </c>
      <c r="G49" s="35">
        <v>724735</v>
      </c>
      <c r="H49" s="35">
        <v>771241</v>
      </c>
      <c r="I49" s="35">
        <v>803273</v>
      </c>
      <c r="J49" s="35">
        <v>808617</v>
      </c>
      <c r="K49" s="35">
        <v>843642</v>
      </c>
      <c r="L49" s="35">
        <v>873906</v>
      </c>
      <c r="M49" s="35">
        <v>892356</v>
      </c>
      <c r="N49" s="35">
        <v>934764</v>
      </c>
      <c r="O49" s="35">
        <v>981255</v>
      </c>
      <c r="P49" s="35">
        <v>989293</v>
      </c>
      <c r="Q49" s="35">
        <v>1037341</v>
      </c>
      <c r="R49" s="35">
        <v>1083733</v>
      </c>
      <c r="S49" s="35">
        <v>1174907</v>
      </c>
      <c r="T49" s="35">
        <v>1257077</v>
      </c>
      <c r="U49" s="35">
        <v>1346369</v>
      </c>
      <c r="V49" s="35">
        <v>1419749</v>
      </c>
      <c r="W49" s="35">
        <v>1473663</v>
      </c>
      <c r="X49" s="35">
        <v>1518787</v>
      </c>
      <c r="Y49" s="35">
        <v>1579767</v>
      </c>
      <c r="Z49" s="35">
        <v>1654715</v>
      </c>
      <c r="AA49" s="35">
        <v>1607339</v>
      </c>
      <c r="AB49" s="35">
        <v>1675091</v>
      </c>
      <c r="AC49" s="35">
        <v>1781207</v>
      </c>
      <c r="AD49" s="35">
        <v>1879803</v>
      </c>
      <c r="AE49" s="35">
        <v>1969691</v>
      </c>
      <c r="AF49" s="35">
        <v>1917584</v>
      </c>
      <c r="AG49" s="35">
        <v>1799730</v>
      </c>
      <c r="AH49" s="35">
        <v>1793056</v>
      </c>
      <c r="AI49" s="35">
        <v>1787621</v>
      </c>
      <c r="AJ49" s="35">
        <v>1857148</v>
      </c>
      <c r="AK49" s="35">
        <v>1919947</v>
      </c>
      <c r="AL49" s="35">
        <v>1820211</v>
      </c>
      <c r="AM49" s="35">
        <v>1960897</v>
      </c>
      <c r="AN49" s="35">
        <v>2125903</v>
      </c>
      <c r="AO49" s="35">
        <v>2087184</v>
      </c>
      <c r="AP49" s="35">
        <v>2238540</v>
      </c>
      <c r="AQ49" s="35">
        <v>2230958</v>
      </c>
      <c r="AR49" s="42">
        <v>2240400</v>
      </c>
      <c r="AS49" s="43">
        <v>2312005</v>
      </c>
      <c r="AT49" s="43">
        <v>2399173</v>
      </c>
      <c r="AU49" s="44">
        <v>2404610</v>
      </c>
      <c r="AV49" s="44">
        <v>2430188</v>
      </c>
      <c r="AW49" s="45">
        <v>2559086</v>
      </c>
      <c r="AX49" s="45">
        <v>2541687</v>
      </c>
      <c r="AY49" s="44">
        <v>2571243</v>
      </c>
      <c r="AZ49" s="45">
        <v>2636908</v>
      </c>
      <c r="BA49" s="44">
        <v>2614702.84</v>
      </c>
      <c r="BB49" s="44">
        <v>2622633</v>
      </c>
      <c r="BC49" s="44">
        <v>2659936</v>
      </c>
      <c r="BD49" s="44">
        <v>2664999</v>
      </c>
      <c r="BE49" s="46">
        <v>2637226</v>
      </c>
      <c r="BF49" s="46">
        <v>2638736</v>
      </c>
      <c r="BG49" s="46">
        <v>2626518</v>
      </c>
      <c r="BH49" s="46">
        <v>2636390</v>
      </c>
      <c r="BI49" s="47">
        <v>2564282</v>
      </c>
      <c r="BJ49" s="46">
        <v>2612862</v>
      </c>
      <c r="BK49" s="44">
        <v>2591748</v>
      </c>
      <c r="BL49" s="48">
        <v>2590788</v>
      </c>
      <c r="BM49" s="48">
        <v>2585353</v>
      </c>
      <c r="BN49" s="48">
        <v>2624657</v>
      </c>
      <c r="BO49" s="48">
        <v>2714080</v>
      </c>
      <c r="BP49" s="48">
        <v>2628062</v>
      </c>
      <c r="BQ49" s="48">
        <v>2673116</v>
      </c>
      <c r="BR49" s="48">
        <v>2667910</v>
      </c>
      <c r="BS49" s="54">
        <v>2765858</v>
      </c>
      <c r="BT49" s="54">
        <v>2811430</v>
      </c>
      <c r="BU49" s="54">
        <v>2187989</v>
      </c>
      <c r="BV49" s="54">
        <v>2421264</v>
      </c>
    </row>
    <row r="50" spans="1:74" ht="9.25" customHeight="1">
      <c r="A50" s="14" t="s">
        <v>45</v>
      </c>
      <c r="B50" s="15">
        <v>316262</v>
      </c>
      <c r="C50" s="15">
        <v>336139</v>
      </c>
      <c r="D50" s="15">
        <v>350551</v>
      </c>
      <c r="E50" s="15">
        <v>385890</v>
      </c>
      <c r="F50" s="15">
        <v>390764</v>
      </c>
      <c r="G50" s="15">
        <v>402276</v>
      </c>
      <c r="H50" s="15">
        <v>433905</v>
      </c>
      <c r="I50" s="15">
        <v>449227</v>
      </c>
      <c r="J50" s="15">
        <v>465365</v>
      </c>
      <c r="K50" s="15">
        <v>460981</v>
      </c>
      <c r="L50" s="15">
        <v>471605</v>
      </c>
      <c r="M50" s="15">
        <v>460319</v>
      </c>
      <c r="N50" s="15">
        <v>464395</v>
      </c>
      <c r="O50" s="15">
        <v>474819</v>
      </c>
      <c r="P50" s="15">
        <v>502596</v>
      </c>
      <c r="Q50" s="15">
        <v>507818</v>
      </c>
      <c r="R50" s="15">
        <v>527124</v>
      </c>
      <c r="S50" s="15">
        <v>551552</v>
      </c>
      <c r="T50" s="15">
        <v>567725</v>
      </c>
      <c r="U50" s="15">
        <v>600415</v>
      </c>
      <c r="V50" s="15">
        <v>622350</v>
      </c>
      <c r="W50" s="15">
        <v>659747</v>
      </c>
      <c r="X50" s="15">
        <v>691471</v>
      </c>
      <c r="Y50" s="15">
        <v>716166</v>
      </c>
      <c r="Z50" s="15">
        <v>769631</v>
      </c>
      <c r="AA50" s="15">
        <v>757392</v>
      </c>
      <c r="AB50" s="15">
        <v>805192</v>
      </c>
      <c r="AC50" s="15">
        <v>862246</v>
      </c>
      <c r="AD50" s="15">
        <v>891222</v>
      </c>
      <c r="AE50" s="15">
        <v>898994</v>
      </c>
      <c r="AF50" s="15">
        <v>878924</v>
      </c>
      <c r="AG50" s="15">
        <v>828862</v>
      </c>
      <c r="AH50" s="15">
        <v>791233</v>
      </c>
      <c r="AI50" s="15">
        <v>793277</v>
      </c>
      <c r="AJ50" s="15">
        <v>778432</v>
      </c>
      <c r="AK50" s="15">
        <v>770065</v>
      </c>
      <c r="AL50" s="15">
        <v>769826</v>
      </c>
      <c r="AM50" s="15">
        <v>775233</v>
      </c>
      <c r="AN50" s="15">
        <v>797486</v>
      </c>
      <c r="AO50" s="15">
        <v>808759</v>
      </c>
      <c r="AP50" s="15">
        <v>804934</v>
      </c>
      <c r="AQ50" s="15">
        <v>813499</v>
      </c>
      <c r="AR50" s="16">
        <v>798268</v>
      </c>
      <c r="AS50" s="17">
        <v>831427</v>
      </c>
      <c r="AT50" s="17">
        <v>825240</v>
      </c>
      <c r="AU50" s="18">
        <v>839273</v>
      </c>
      <c r="AV50" s="18">
        <v>867328</v>
      </c>
      <c r="AW50" s="20">
        <v>787024</v>
      </c>
      <c r="AX50" s="20">
        <v>823083</v>
      </c>
      <c r="AY50" s="18">
        <v>819982</v>
      </c>
      <c r="AZ50" s="20">
        <v>816744</v>
      </c>
      <c r="BA50" s="18">
        <v>810008.62</v>
      </c>
      <c r="BB50" s="18">
        <v>818516</v>
      </c>
      <c r="BC50" s="18">
        <v>799068</v>
      </c>
      <c r="BD50" s="18">
        <v>815002</v>
      </c>
      <c r="BE50" s="21">
        <v>837642</v>
      </c>
      <c r="BF50" s="21">
        <v>821584</v>
      </c>
      <c r="BG50" s="21">
        <v>815382</v>
      </c>
      <c r="BH50" s="21">
        <v>812850</v>
      </c>
      <c r="BI50" s="22">
        <v>749049</v>
      </c>
      <c r="BJ50" s="21">
        <v>815412</v>
      </c>
      <c r="BK50" s="18">
        <v>843909</v>
      </c>
      <c r="BL50" s="23">
        <v>808962</v>
      </c>
      <c r="BM50" s="23">
        <v>795327</v>
      </c>
      <c r="BN50" s="23">
        <v>774677</v>
      </c>
      <c r="BO50" s="23">
        <v>823952</v>
      </c>
      <c r="BP50" s="23">
        <v>811497</v>
      </c>
      <c r="BQ50" s="23">
        <v>779194</v>
      </c>
      <c r="BR50" s="23">
        <v>754615</v>
      </c>
      <c r="BS50" s="53">
        <v>791672</v>
      </c>
      <c r="BT50" s="53">
        <v>791672</v>
      </c>
      <c r="BU50" s="53">
        <v>665085</v>
      </c>
      <c r="BV50" s="53">
        <v>766549</v>
      </c>
    </row>
    <row r="51" spans="1:74" ht="9.25" customHeight="1">
      <c r="A51" s="14" t="s">
        <v>46</v>
      </c>
      <c r="B51" s="15">
        <v>754064</v>
      </c>
      <c r="C51" s="15">
        <v>812969</v>
      </c>
      <c r="D51" s="15">
        <v>854819</v>
      </c>
      <c r="E51" s="15">
        <v>905507</v>
      </c>
      <c r="F51" s="15">
        <v>940136</v>
      </c>
      <c r="G51" s="15">
        <v>972544</v>
      </c>
      <c r="H51" s="15">
        <v>1038481</v>
      </c>
      <c r="I51" s="15">
        <v>1040427</v>
      </c>
      <c r="J51" s="15">
        <v>1085340</v>
      </c>
      <c r="K51" s="15">
        <v>1129769</v>
      </c>
      <c r="L51" s="15">
        <v>1169654</v>
      </c>
      <c r="M51" s="15">
        <v>1220203</v>
      </c>
      <c r="N51" s="15">
        <v>1221730</v>
      </c>
      <c r="O51" s="15">
        <v>1248654</v>
      </c>
      <c r="P51" s="15">
        <v>1294936</v>
      </c>
      <c r="Q51" s="15">
        <v>1354454</v>
      </c>
      <c r="R51" s="15">
        <v>1405930</v>
      </c>
      <c r="S51" s="15">
        <v>1477282</v>
      </c>
      <c r="T51" s="15">
        <v>1510804</v>
      </c>
      <c r="U51" s="15">
        <v>1597587</v>
      </c>
      <c r="V51" s="15">
        <v>1712837</v>
      </c>
      <c r="W51" s="15">
        <v>1799007</v>
      </c>
      <c r="X51" s="15">
        <v>1879074</v>
      </c>
      <c r="Y51" s="15">
        <v>2005482</v>
      </c>
      <c r="Z51" s="15">
        <v>2077189</v>
      </c>
      <c r="AA51" s="15">
        <v>2020626</v>
      </c>
      <c r="AB51" s="15">
        <v>2065268</v>
      </c>
      <c r="AC51" s="15">
        <v>2163193</v>
      </c>
      <c r="AD51" s="15">
        <v>2229046</v>
      </c>
      <c r="AE51" s="15">
        <v>2331292</v>
      </c>
      <c r="AF51" s="15">
        <v>2242476</v>
      </c>
      <c r="AG51" s="15">
        <v>2049119</v>
      </c>
      <c r="AH51" s="15">
        <v>1972425</v>
      </c>
      <c r="AI51" s="15">
        <v>1885665</v>
      </c>
      <c r="AJ51" s="15">
        <v>1907939</v>
      </c>
      <c r="AK51" s="15">
        <v>1873786</v>
      </c>
      <c r="AL51" s="15">
        <v>1909253</v>
      </c>
      <c r="AM51" s="15">
        <v>1950142</v>
      </c>
      <c r="AN51" s="15">
        <v>1937922</v>
      </c>
      <c r="AO51" s="15">
        <v>2012244</v>
      </c>
      <c r="AP51" s="15">
        <v>2014618</v>
      </c>
      <c r="AQ51" s="15">
        <v>2018210</v>
      </c>
      <c r="AR51" s="16">
        <v>2027131</v>
      </c>
      <c r="AS51" s="17">
        <v>2083973</v>
      </c>
      <c r="AT51" s="17">
        <v>2139667</v>
      </c>
      <c r="AU51" s="18">
        <v>2197149</v>
      </c>
      <c r="AV51" s="18">
        <v>2253427</v>
      </c>
      <c r="AW51" s="20">
        <v>2319012</v>
      </c>
      <c r="AX51" s="20">
        <v>2295098</v>
      </c>
      <c r="AY51" s="18">
        <v>2433382</v>
      </c>
      <c r="AZ51" s="20">
        <v>2454852</v>
      </c>
      <c r="BA51" s="18">
        <v>2406713.9680000003</v>
      </c>
      <c r="BB51" s="18">
        <v>2418289</v>
      </c>
      <c r="BC51" s="18">
        <v>2474024</v>
      </c>
      <c r="BD51" s="18">
        <v>2503011</v>
      </c>
      <c r="BE51" s="21">
        <v>2480347</v>
      </c>
      <c r="BF51" s="21">
        <v>2455952</v>
      </c>
      <c r="BG51" s="21">
        <v>2384773</v>
      </c>
      <c r="BH51" s="21">
        <v>2459173</v>
      </c>
      <c r="BI51" s="22">
        <v>2436561</v>
      </c>
      <c r="BJ51" s="21">
        <v>2442624</v>
      </c>
      <c r="BK51" s="18">
        <v>2504102</v>
      </c>
      <c r="BL51" s="23">
        <v>2431804</v>
      </c>
      <c r="BM51" s="23">
        <v>2406501</v>
      </c>
      <c r="BN51" s="23">
        <v>2369479</v>
      </c>
      <c r="BO51" s="23">
        <v>2594780.9515263764</v>
      </c>
      <c r="BP51" s="23">
        <v>2371640</v>
      </c>
      <c r="BQ51" s="23">
        <v>2420170</v>
      </c>
      <c r="BR51" s="23">
        <v>2388395</v>
      </c>
      <c r="BS51" s="53">
        <v>2491234</v>
      </c>
      <c r="BT51" s="53">
        <v>2461021</v>
      </c>
      <c r="BU51" s="53">
        <v>2153517</v>
      </c>
      <c r="BV51" s="53">
        <v>2348786</v>
      </c>
    </row>
    <row r="52" spans="1:74" ht="9.25" customHeight="1">
      <c r="A52" s="14" t="s">
        <v>47</v>
      </c>
      <c r="B52" s="15">
        <v>110868</v>
      </c>
      <c r="C52" s="15">
        <v>118126</v>
      </c>
      <c r="D52" s="15">
        <v>124861</v>
      </c>
      <c r="E52" s="15">
        <v>133264</v>
      </c>
      <c r="F52" s="15">
        <v>141540</v>
      </c>
      <c r="G52" s="15">
        <v>142190</v>
      </c>
      <c r="H52" s="15">
        <v>145920</v>
      </c>
      <c r="I52" s="15">
        <v>147269</v>
      </c>
      <c r="J52" s="15">
        <v>149709</v>
      </c>
      <c r="K52" s="15">
        <v>144139</v>
      </c>
      <c r="L52" s="15">
        <v>156884</v>
      </c>
      <c r="M52" s="15">
        <v>163924</v>
      </c>
      <c r="N52" s="15">
        <v>164838</v>
      </c>
      <c r="O52" s="15">
        <v>172036</v>
      </c>
      <c r="P52" s="15">
        <v>175792</v>
      </c>
      <c r="Q52" s="15">
        <v>174595</v>
      </c>
      <c r="R52" s="15">
        <v>174738</v>
      </c>
      <c r="S52" s="15">
        <v>179789</v>
      </c>
      <c r="T52" s="15">
        <v>186937</v>
      </c>
      <c r="U52" s="15">
        <v>197931</v>
      </c>
      <c r="V52" s="15">
        <v>211299</v>
      </c>
      <c r="W52" s="15">
        <v>220892</v>
      </c>
      <c r="X52" s="15">
        <v>226396</v>
      </c>
      <c r="Y52" s="15">
        <v>247735</v>
      </c>
      <c r="Z52" s="15">
        <v>266255</v>
      </c>
      <c r="AA52" s="15">
        <v>254619</v>
      </c>
      <c r="AB52" s="15">
        <v>279950</v>
      </c>
      <c r="AC52" s="15">
        <v>301847</v>
      </c>
      <c r="AD52" s="15">
        <v>312567</v>
      </c>
      <c r="AE52" s="15">
        <v>354312</v>
      </c>
      <c r="AF52" s="15">
        <v>347730</v>
      </c>
      <c r="AG52" s="15">
        <v>344979</v>
      </c>
      <c r="AH52" s="15">
        <v>343351</v>
      </c>
      <c r="AI52" s="15">
        <v>324240</v>
      </c>
      <c r="AJ52" s="15">
        <v>309927</v>
      </c>
      <c r="AK52" s="15">
        <v>338231</v>
      </c>
      <c r="AL52" s="15">
        <v>302965</v>
      </c>
      <c r="AM52" s="15">
        <v>281818</v>
      </c>
      <c r="AN52" s="15">
        <v>286861</v>
      </c>
      <c r="AO52" s="25">
        <v>290585</v>
      </c>
      <c r="AP52" s="15">
        <v>298435</v>
      </c>
      <c r="AQ52" s="15">
        <v>282290</v>
      </c>
      <c r="AR52" s="16">
        <v>280693</v>
      </c>
      <c r="AS52" s="17">
        <v>292718</v>
      </c>
      <c r="AT52" s="17">
        <v>304040</v>
      </c>
      <c r="AU52" s="18">
        <v>307874</v>
      </c>
      <c r="AV52" s="18">
        <v>313372</v>
      </c>
      <c r="AW52" s="49">
        <v>312216</v>
      </c>
      <c r="AX52" s="49">
        <v>299736</v>
      </c>
      <c r="AY52" s="18">
        <v>321265</v>
      </c>
      <c r="AZ52" s="49">
        <v>323729</v>
      </c>
      <c r="BA52" s="18">
        <v>318344.06199999992</v>
      </c>
      <c r="BB52" s="18">
        <v>321847</v>
      </c>
      <c r="BC52" s="18">
        <v>313298</v>
      </c>
      <c r="BD52" s="18">
        <v>311028</v>
      </c>
      <c r="BE52" s="21">
        <v>301525</v>
      </c>
      <c r="BF52" s="21">
        <v>303700</v>
      </c>
      <c r="BG52" s="21">
        <v>303569</v>
      </c>
      <c r="BH52" s="21">
        <v>315267</v>
      </c>
      <c r="BI52" s="22">
        <v>311144</v>
      </c>
      <c r="BJ52" s="21">
        <v>325843</v>
      </c>
      <c r="BK52" s="18">
        <v>331835</v>
      </c>
      <c r="BL52" s="23">
        <v>315006</v>
      </c>
      <c r="BM52" s="23">
        <v>334026</v>
      </c>
      <c r="BN52" s="23">
        <v>334414</v>
      </c>
      <c r="BO52" s="23">
        <v>338200</v>
      </c>
      <c r="BP52" s="23">
        <v>314096</v>
      </c>
      <c r="BQ52" s="23">
        <v>320912</v>
      </c>
      <c r="BR52" s="23">
        <v>314802</v>
      </c>
      <c r="BS52" s="53">
        <v>294731</v>
      </c>
      <c r="BT52" s="53">
        <v>293603</v>
      </c>
      <c r="BU52" s="53">
        <v>273102</v>
      </c>
      <c r="BV52" s="53">
        <v>294439</v>
      </c>
    </row>
    <row r="53" spans="1:74" ht="10.5" customHeight="1" thickBot="1">
      <c r="A53" s="26" t="s">
        <v>48</v>
      </c>
      <c r="B53" s="27">
        <f t="shared" ref="B53:BL53" si="0">SUM(B2:B52)</f>
        <v>32010871</v>
      </c>
      <c r="C53" s="27">
        <f t="shared" si="0"/>
        <v>35124800</v>
      </c>
      <c r="D53" s="27">
        <f t="shared" si="0"/>
        <v>37430684</v>
      </c>
      <c r="E53" s="27">
        <f t="shared" si="0"/>
        <v>39760208</v>
      </c>
      <c r="F53" s="27">
        <f t="shared" si="0"/>
        <v>41805845</v>
      </c>
      <c r="G53" s="27">
        <f t="shared" si="0"/>
        <v>43319266</v>
      </c>
      <c r="H53" s="27">
        <f t="shared" si="0"/>
        <v>46527057</v>
      </c>
      <c r="I53" s="27">
        <f t="shared" si="0"/>
        <v>48805145</v>
      </c>
      <c r="J53" s="27">
        <f t="shared" si="0"/>
        <v>50229696</v>
      </c>
      <c r="K53" s="27">
        <f t="shared" si="0"/>
        <v>51563249</v>
      </c>
      <c r="L53" s="27">
        <f t="shared" si="0"/>
        <v>54101740</v>
      </c>
      <c r="M53" s="27">
        <f t="shared" si="0"/>
        <v>55428618</v>
      </c>
      <c r="N53" s="27">
        <f t="shared" si="0"/>
        <v>56607240</v>
      </c>
      <c r="O53" s="27">
        <f t="shared" si="0"/>
        <v>58749049</v>
      </c>
      <c r="P53" s="27">
        <f t="shared" si="0"/>
        <v>61274435</v>
      </c>
      <c r="Q53" s="27">
        <f t="shared" si="0"/>
        <v>64268645</v>
      </c>
      <c r="R53" s="27">
        <f t="shared" si="0"/>
        <v>66978519</v>
      </c>
      <c r="S53" s="27">
        <f t="shared" si="0"/>
        <v>69973025</v>
      </c>
      <c r="T53" s="27">
        <f t="shared" si="0"/>
        <v>72680934</v>
      </c>
      <c r="U53" s="27">
        <f t="shared" si="0"/>
        <v>77258786</v>
      </c>
      <c r="V53" s="27">
        <f t="shared" si="0"/>
        <v>81805024</v>
      </c>
      <c r="W53" s="27">
        <f t="shared" si="0"/>
        <v>85598364</v>
      </c>
      <c r="X53" s="27">
        <f t="shared" si="0"/>
        <v>89984705</v>
      </c>
      <c r="Y53" s="27">
        <f t="shared" si="0"/>
        <v>96542738</v>
      </c>
      <c r="Z53" s="27">
        <f t="shared" si="0"/>
        <v>100636236</v>
      </c>
      <c r="AA53" s="27">
        <f t="shared" si="0"/>
        <v>96504516</v>
      </c>
      <c r="AB53" s="27">
        <f t="shared" si="0"/>
        <v>99353593</v>
      </c>
      <c r="AC53" s="27">
        <f t="shared" si="0"/>
        <v>104978219</v>
      </c>
      <c r="AD53" s="27">
        <f t="shared" si="0"/>
        <v>107978395</v>
      </c>
      <c r="AE53" s="27">
        <f t="shared" si="0"/>
        <v>112239066</v>
      </c>
      <c r="AF53" s="27">
        <f t="shared" si="0"/>
        <v>108125994</v>
      </c>
      <c r="AG53" s="27">
        <f t="shared" si="0"/>
        <v>101183014</v>
      </c>
      <c r="AH53" s="27">
        <f t="shared" si="0"/>
        <v>99596671</v>
      </c>
      <c r="AI53" s="27">
        <f t="shared" si="0"/>
        <v>98478879</v>
      </c>
      <c r="AJ53" s="27">
        <f t="shared" si="0"/>
        <v>100106323</v>
      </c>
      <c r="AK53" s="27">
        <f t="shared" si="0"/>
        <v>101415509</v>
      </c>
      <c r="AL53" s="27">
        <f t="shared" si="0"/>
        <v>103550524</v>
      </c>
      <c r="AM53" s="27">
        <f t="shared" si="0"/>
        <v>106758216</v>
      </c>
      <c r="AN53" s="28">
        <f t="shared" si="0"/>
        <v>108440311</v>
      </c>
      <c r="AO53" s="29">
        <f t="shared" si="0"/>
        <v>109965652</v>
      </c>
      <c r="AP53" s="29">
        <f t="shared" si="0"/>
        <v>110577564</v>
      </c>
      <c r="AQ53" s="29">
        <f t="shared" si="0"/>
        <v>109529456</v>
      </c>
      <c r="AR53" s="29">
        <f t="shared" si="0"/>
        <v>107913262</v>
      </c>
      <c r="AS53" s="29">
        <f t="shared" si="0"/>
        <v>110974379</v>
      </c>
      <c r="AT53" s="29">
        <f t="shared" si="0"/>
        <v>113668348</v>
      </c>
      <c r="AU53" s="29">
        <f t="shared" si="0"/>
        <v>115681981</v>
      </c>
      <c r="AV53" s="29">
        <f t="shared" si="0"/>
        <v>117060566</v>
      </c>
      <c r="AW53" s="29">
        <f t="shared" si="0"/>
        <v>119514718</v>
      </c>
      <c r="AX53" s="29">
        <f t="shared" si="0"/>
        <v>120937877</v>
      </c>
      <c r="AY53" s="29">
        <f t="shared" si="0"/>
        <v>124693672</v>
      </c>
      <c r="AZ53" s="29">
        <f t="shared" si="0"/>
        <v>128743412</v>
      </c>
      <c r="BA53" s="29">
        <f t="shared" si="0"/>
        <v>128883609.09700005</v>
      </c>
      <c r="BB53" s="29">
        <f t="shared" si="0"/>
        <v>129682089.7696</v>
      </c>
      <c r="BC53" s="29">
        <f t="shared" si="0"/>
        <v>132954729</v>
      </c>
      <c r="BD53" s="29">
        <f t="shared" si="0"/>
        <v>134634490</v>
      </c>
      <c r="BE53" s="29">
        <f t="shared" si="0"/>
        <v>136455369</v>
      </c>
      <c r="BF53" s="29">
        <f t="shared" si="0"/>
        <v>135176021</v>
      </c>
      <c r="BG53" s="29">
        <f t="shared" si="0"/>
        <v>134836165</v>
      </c>
      <c r="BH53" s="29">
        <f t="shared" si="0"/>
        <v>135417561</v>
      </c>
      <c r="BI53" s="30">
        <f t="shared" si="0"/>
        <v>132253702</v>
      </c>
      <c r="BJ53" s="31">
        <f t="shared" si="0"/>
        <v>132926657</v>
      </c>
      <c r="BK53" s="31">
        <f t="shared" si="0"/>
        <v>133725262</v>
      </c>
      <c r="BL53" s="31">
        <f t="shared" si="0"/>
        <v>131274407</v>
      </c>
      <c r="BM53" s="31">
        <v>130934705</v>
      </c>
      <c r="BN53" s="31">
        <f>SUM(BN2:BN52)</f>
        <v>131298651</v>
      </c>
      <c r="BO53" s="51">
        <v>136468146.95152637</v>
      </c>
      <c r="BP53" s="51">
        <v>132242542.00294797</v>
      </c>
      <c r="BQ53" s="51">
        <v>135559291</v>
      </c>
      <c r="BR53" s="51">
        <v>135300642</v>
      </c>
      <c r="BS53" s="51">
        <f t="shared" ref="BS53" si="1">SUM(BS2:BS52)</f>
        <v>135336713</v>
      </c>
      <c r="BT53" s="51">
        <v>136075824</v>
      </c>
      <c r="BU53" s="51">
        <v>117251028</v>
      </c>
      <c r="BV53" s="51">
        <v>128909697</v>
      </c>
    </row>
    <row r="54" spans="1:74" ht="12.75" customHeight="1">
      <c r="A54" s="4"/>
      <c r="B54" s="11" t="s">
        <v>50</v>
      </c>
      <c r="C54" s="8"/>
      <c r="D54" s="8"/>
      <c r="E54" s="8"/>
      <c r="F54" s="8"/>
      <c r="G54" s="8"/>
      <c r="H54" s="9"/>
      <c r="I54" s="8"/>
      <c r="J54" s="8"/>
      <c r="K54" s="8"/>
      <c r="L54" s="2"/>
      <c r="N54" s="2"/>
      <c r="O54" s="2"/>
      <c r="P54" s="2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12"/>
      <c r="BF54" s="13" t="s">
        <v>49</v>
      </c>
      <c r="BG54" s="5"/>
      <c r="BH54" s="5"/>
      <c r="BI54" s="5"/>
      <c r="BJ54" s="5"/>
      <c r="BK54" s="5"/>
      <c r="BL54" s="6"/>
      <c r="BM54" s="6"/>
      <c r="BN54" s="6"/>
      <c r="BO54" s="6"/>
      <c r="BP54" s="6"/>
      <c r="BS54" s="7"/>
      <c r="BU54" s="7"/>
    </row>
    <row r="55" spans="1:74" ht="6.75" customHeight="1">
      <c r="A55" s="4"/>
      <c r="B55" s="10"/>
      <c r="C55" s="8"/>
      <c r="D55" s="8"/>
      <c r="E55" s="8"/>
      <c r="F55" s="8"/>
      <c r="G55" s="8"/>
      <c r="H55" s="9"/>
      <c r="I55" s="8"/>
      <c r="J55" s="8"/>
      <c r="K55" s="8"/>
      <c r="L55" s="2"/>
      <c r="N55" s="2"/>
      <c r="O55" s="2"/>
      <c r="P55" s="2"/>
      <c r="Q55" s="2"/>
      <c r="R55" s="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12"/>
      <c r="BF55" s="13"/>
      <c r="BG55" s="5"/>
      <c r="BH55" s="5"/>
      <c r="BI55" s="5"/>
      <c r="BJ55" s="5"/>
      <c r="BK55" s="5"/>
      <c r="BL55" s="6"/>
      <c r="BM55" s="6"/>
      <c r="BN55" s="6"/>
      <c r="BO55" s="6"/>
      <c r="BP55" s="6"/>
      <c r="BQ55" s="6"/>
      <c r="BR55" s="6"/>
      <c r="BS55" s="7"/>
      <c r="BU55" s="7"/>
    </row>
    <row r="56" spans="1:74" ht="6.75" customHeight="1">
      <c r="A56" s="4"/>
      <c r="B56" s="3"/>
      <c r="C56" s="2"/>
      <c r="D56" s="2"/>
      <c r="E56" s="2"/>
      <c r="F56" s="2"/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6"/>
      <c r="BR56" s="6"/>
    </row>
  </sheetData>
  <pageMargins left="0.7" right="0.7" top="0.82291666666666663" bottom="0.75" header="0.3" footer="0.3"/>
  <pageSetup scale="99" orientation="landscape" r:id="rId1"/>
  <headerFooter>
    <oddHeader>&amp;C&amp;"Arial,Bold"&amp;9TABLE MF-226: HIGHWAY USE OF GASOLINE, BY STATE, 1949-2021&amp;10
&amp;"Arial,Regular"&amp;8 (THOUSANDS OF GALLONS)</oddHeader>
    <oddFooter>&amp;L&amp;"Arial,Bold"&amp;7MF-226&amp;R&amp;"Arial,Bold"&amp;7Page &amp;P</oddFooter>
  </headerFooter>
  <ignoredErrors>
    <ignoredError sqref="AV53:AW5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7E3D-F1C9-4DA1-92C5-614A44322436}">
  <dimension ref="B1:I64"/>
  <sheetViews>
    <sheetView zoomScale="90" zoomScaleNormal="90" workbookViewId="0"/>
  </sheetViews>
  <sheetFormatPr defaultColWidth="9.1796875" defaultRowHeight="12.5"/>
  <cols>
    <col min="1" max="1" width="2" style="57" customWidth="1"/>
    <col min="2" max="2" width="15.26953125" style="57" customWidth="1"/>
    <col min="3" max="3" width="29.81640625" style="57" customWidth="1"/>
    <col min="4" max="9" width="9.1796875" style="57"/>
    <col min="10" max="10" width="7.1796875" style="57" customWidth="1"/>
    <col min="11" max="16384" width="9.1796875" style="57"/>
  </cols>
  <sheetData>
    <row r="1" spans="2:9" ht="9.75" customHeight="1"/>
    <row r="2" spans="2:9" ht="23.25" customHeight="1">
      <c r="B2" s="58" t="s">
        <v>51</v>
      </c>
      <c r="F2" s="59"/>
      <c r="H2" s="60"/>
      <c r="I2" s="60"/>
    </row>
    <row r="3" spans="2:9" ht="20">
      <c r="B3" s="61" t="s">
        <v>52</v>
      </c>
      <c r="F3" s="59"/>
      <c r="H3" s="60"/>
      <c r="I3" s="60"/>
    </row>
    <row r="4" spans="2:9" ht="11.25" customHeight="1">
      <c r="F4" s="59"/>
      <c r="H4" s="60"/>
      <c r="I4" s="60"/>
    </row>
    <row r="5" spans="2:9" ht="14.25" customHeight="1">
      <c r="B5" s="57" t="s">
        <v>53</v>
      </c>
    </row>
    <row r="6" spans="2:9" ht="14.25" customHeight="1">
      <c r="B6" s="57" t="s">
        <v>54</v>
      </c>
    </row>
    <row r="7" spans="2:9" ht="14.25" customHeight="1">
      <c r="B7" s="57" t="s">
        <v>55</v>
      </c>
    </row>
    <row r="8" spans="2:9" ht="12.75" customHeight="1" thickBot="1"/>
    <row r="9" spans="2:9" ht="16.5" thickTop="1" thickBot="1">
      <c r="C9" s="62" t="s">
        <v>56</v>
      </c>
      <c r="D9" s="63" t="s">
        <v>57</v>
      </c>
    </row>
    <row r="10" spans="2:9">
      <c r="C10" s="64" t="s">
        <v>1</v>
      </c>
      <c r="D10" s="65" t="s">
        <v>58</v>
      </c>
    </row>
    <row r="11" spans="2:9">
      <c r="C11" s="64" t="s">
        <v>2</v>
      </c>
      <c r="D11" s="65" t="s">
        <v>59</v>
      </c>
    </row>
    <row r="12" spans="2:9">
      <c r="C12" s="64" t="s">
        <v>3</v>
      </c>
      <c r="D12" s="65" t="s">
        <v>60</v>
      </c>
    </row>
    <row r="13" spans="2:9">
      <c r="C13" s="64" t="s">
        <v>4</v>
      </c>
      <c r="D13" s="65" t="s">
        <v>61</v>
      </c>
    </row>
    <row r="14" spans="2:9">
      <c r="C14" s="64" t="s">
        <v>5</v>
      </c>
      <c r="D14" s="65" t="s">
        <v>62</v>
      </c>
    </row>
    <row r="15" spans="2:9">
      <c r="C15" s="64" t="s">
        <v>63</v>
      </c>
      <c r="D15" s="65" t="s">
        <v>64</v>
      </c>
    </row>
    <row r="16" spans="2:9">
      <c r="C16" s="64" t="s">
        <v>6</v>
      </c>
      <c r="D16" s="65" t="s">
        <v>65</v>
      </c>
    </row>
    <row r="17" spans="3:4">
      <c r="C17" s="64" t="s">
        <v>7</v>
      </c>
      <c r="D17" s="65" t="s">
        <v>66</v>
      </c>
    </row>
    <row r="18" spans="3:4">
      <c r="C18" s="57" t="s">
        <v>8</v>
      </c>
      <c r="D18" s="65" t="s">
        <v>67</v>
      </c>
    </row>
    <row r="19" spans="3:4">
      <c r="C19" s="64" t="s">
        <v>68</v>
      </c>
      <c r="D19" s="65" t="s">
        <v>69</v>
      </c>
    </row>
    <row r="20" spans="3:4">
      <c r="C20" s="64" t="s">
        <v>70</v>
      </c>
      <c r="D20" s="65" t="s">
        <v>71</v>
      </c>
    </row>
    <row r="21" spans="3:4">
      <c r="C21" s="64" t="s">
        <v>9</v>
      </c>
      <c r="D21" s="65" t="s">
        <v>72</v>
      </c>
    </row>
    <row r="22" spans="3:4">
      <c r="C22" s="64" t="s">
        <v>10</v>
      </c>
      <c r="D22" s="65" t="s">
        <v>73</v>
      </c>
    </row>
    <row r="23" spans="3:4">
      <c r="C23" s="64" t="s">
        <v>11</v>
      </c>
      <c r="D23" s="65" t="s">
        <v>74</v>
      </c>
    </row>
    <row r="24" spans="3:4">
      <c r="C24" s="64" t="s">
        <v>12</v>
      </c>
      <c r="D24" s="65" t="s">
        <v>75</v>
      </c>
    </row>
    <row r="25" spans="3:4">
      <c r="C25" s="64" t="s">
        <v>13</v>
      </c>
      <c r="D25" s="65" t="s">
        <v>76</v>
      </c>
    </row>
    <row r="26" spans="3:4">
      <c r="C26" s="64" t="s">
        <v>14</v>
      </c>
      <c r="D26" s="65" t="s">
        <v>77</v>
      </c>
    </row>
    <row r="27" spans="3:4">
      <c r="C27" s="64" t="s">
        <v>15</v>
      </c>
      <c r="D27" s="65" t="s">
        <v>78</v>
      </c>
    </row>
    <row r="28" spans="3:4">
      <c r="C28" s="64" t="s">
        <v>16</v>
      </c>
      <c r="D28" s="65" t="s">
        <v>79</v>
      </c>
    </row>
    <row r="29" spans="3:4">
      <c r="C29" s="64" t="s">
        <v>17</v>
      </c>
      <c r="D29" s="65" t="s">
        <v>80</v>
      </c>
    </row>
    <row r="30" spans="3:4">
      <c r="C30" s="64" t="s">
        <v>18</v>
      </c>
      <c r="D30" s="65" t="s">
        <v>81</v>
      </c>
    </row>
    <row r="31" spans="3:4">
      <c r="C31" s="64" t="s">
        <v>19</v>
      </c>
      <c r="D31" s="65" t="s">
        <v>82</v>
      </c>
    </row>
    <row r="32" spans="3:4">
      <c r="C32" s="64" t="s">
        <v>20</v>
      </c>
      <c r="D32" s="65" t="s">
        <v>83</v>
      </c>
    </row>
    <row r="33" spans="3:4">
      <c r="C33" s="64" t="s">
        <v>84</v>
      </c>
      <c r="D33" s="65" t="s">
        <v>85</v>
      </c>
    </row>
    <row r="34" spans="3:4">
      <c r="C34" s="64" t="s">
        <v>21</v>
      </c>
      <c r="D34" s="65" t="s">
        <v>86</v>
      </c>
    </row>
    <row r="35" spans="3:4">
      <c r="C35" s="64" t="s">
        <v>22</v>
      </c>
      <c r="D35" s="65" t="s">
        <v>87</v>
      </c>
    </row>
    <row r="36" spans="3:4">
      <c r="C36" s="64" t="s">
        <v>23</v>
      </c>
      <c r="D36" s="65" t="s">
        <v>88</v>
      </c>
    </row>
    <row r="37" spans="3:4">
      <c r="C37" s="64" t="s">
        <v>24</v>
      </c>
      <c r="D37" s="65" t="s">
        <v>89</v>
      </c>
    </row>
    <row r="38" spans="3:4">
      <c r="C38" s="64" t="s">
        <v>25</v>
      </c>
      <c r="D38" s="65" t="s">
        <v>90</v>
      </c>
    </row>
    <row r="39" spans="3:4">
      <c r="C39" s="64" t="s">
        <v>26</v>
      </c>
      <c r="D39" s="65" t="s">
        <v>91</v>
      </c>
    </row>
    <row r="40" spans="3:4">
      <c r="C40" s="64" t="s">
        <v>27</v>
      </c>
      <c r="D40" s="65" t="s">
        <v>92</v>
      </c>
    </row>
    <row r="41" spans="3:4">
      <c r="C41" s="64" t="s">
        <v>28</v>
      </c>
      <c r="D41" s="65" t="s">
        <v>93</v>
      </c>
    </row>
    <row r="42" spans="3:4">
      <c r="C42" s="64" t="s">
        <v>29</v>
      </c>
      <c r="D42" s="65" t="s">
        <v>94</v>
      </c>
    </row>
    <row r="43" spans="3:4">
      <c r="C43" s="64" t="s">
        <v>30</v>
      </c>
      <c r="D43" s="65" t="s">
        <v>95</v>
      </c>
    </row>
    <row r="44" spans="3:4">
      <c r="C44" s="64" t="s">
        <v>96</v>
      </c>
      <c r="D44" s="65" t="s">
        <v>97</v>
      </c>
    </row>
    <row r="45" spans="3:4">
      <c r="C45" s="64" t="s">
        <v>31</v>
      </c>
      <c r="D45" s="65" t="s">
        <v>98</v>
      </c>
    </row>
    <row r="46" spans="3:4">
      <c r="C46" s="64" t="s">
        <v>32</v>
      </c>
      <c r="D46" s="65" t="s">
        <v>99</v>
      </c>
    </row>
    <row r="47" spans="3:4">
      <c r="C47" s="64" t="s">
        <v>33</v>
      </c>
      <c r="D47" s="65" t="s">
        <v>100</v>
      </c>
    </row>
    <row r="48" spans="3:4">
      <c r="C48" s="64" t="s">
        <v>34</v>
      </c>
      <c r="D48" s="65" t="s">
        <v>101</v>
      </c>
    </row>
    <row r="49" spans="3:4">
      <c r="C49" s="64" t="s">
        <v>102</v>
      </c>
      <c r="D49" s="65" t="s">
        <v>103</v>
      </c>
    </row>
    <row r="50" spans="3:4">
      <c r="C50" s="64" t="s">
        <v>35</v>
      </c>
      <c r="D50" s="65" t="s">
        <v>104</v>
      </c>
    </row>
    <row r="51" spans="3:4">
      <c r="C51" s="64" t="s">
        <v>36</v>
      </c>
      <c r="D51" s="65" t="s">
        <v>105</v>
      </c>
    </row>
    <row r="52" spans="3:4">
      <c r="C52" s="64" t="s">
        <v>37</v>
      </c>
      <c r="D52" s="65" t="s">
        <v>106</v>
      </c>
    </row>
    <row r="53" spans="3:4">
      <c r="C53" s="64" t="s">
        <v>38</v>
      </c>
      <c r="D53" s="65" t="s">
        <v>107</v>
      </c>
    </row>
    <row r="54" spans="3:4">
      <c r="C54" s="64" t="s">
        <v>39</v>
      </c>
      <c r="D54" s="65" t="s">
        <v>108</v>
      </c>
    </row>
    <row r="55" spans="3:4">
      <c r="C55" s="64" t="s">
        <v>40</v>
      </c>
      <c r="D55" s="65" t="s">
        <v>109</v>
      </c>
    </row>
    <row r="56" spans="3:4">
      <c r="C56" s="64" t="s">
        <v>110</v>
      </c>
      <c r="D56" s="65" t="s">
        <v>111</v>
      </c>
    </row>
    <row r="57" spans="3:4">
      <c r="C57" s="64" t="s">
        <v>41</v>
      </c>
      <c r="D57" s="65" t="s">
        <v>112</v>
      </c>
    </row>
    <row r="58" spans="3:4">
      <c r="C58" s="64" t="s">
        <v>42</v>
      </c>
      <c r="D58" s="65" t="s">
        <v>113</v>
      </c>
    </row>
    <row r="59" spans="3:4">
      <c r="C59" s="64" t="s">
        <v>43</v>
      </c>
      <c r="D59" s="65" t="s">
        <v>114</v>
      </c>
    </row>
    <row r="60" spans="3:4">
      <c r="C60" s="66" t="s">
        <v>44</v>
      </c>
      <c r="D60" s="67" t="s">
        <v>115</v>
      </c>
    </row>
    <row r="61" spans="3:4">
      <c r="C61" s="64" t="s">
        <v>45</v>
      </c>
      <c r="D61" s="65" t="s">
        <v>116</v>
      </c>
    </row>
    <row r="62" spans="3:4">
      <c r="C62" s="66" t="s">
        <v>46</v>
      </c>
      <c r="D62" s="67" t="s">
        <v>117</v>
      </c>
    </row>
    <row r="63" spans="3:4" ht="13" thickBot="1">
      <c r="C63" s="68" t="s">
        <v>47</v>
      </c>
      <c r="D63" s="69" t="s">
        <v>118</v>
      </c>
    </row>
    <row r="64" spans="3:4" ht="13" thickTop="1">
      <c r="C64" s="70"/>
    </row>
  </sheetData>
  <mergeCells count="1">
    <mergeCell ref="F2:F4"/>
  </mergeCells>
  <pageMargins left="0.75" right="0.5" top="0.75" bottom="0.5" header="0.5" footer="0.5"/>
  <pageSetup scale="85" fitToHeight="1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126D84FDD514BA3F28C62199CF255" ma:contentTypeVersion="22" ma:contentTypeDescription="Create a new document." ma:contentTypeScope="" ma:versionID="10f125210051a506d1584ec18f6af5d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57ac4d48-2eeb-46cd-9c42-48cc4c4e72e0" xmlns:ns6="042e8982-6c49-49e4-a280-2ba9bd13325e" targetNamespace="http://schemas.microsoft.com/office/2006/metadata/properties" ma:root="true" ma:fieldsID="8a7a527c0a01760e5f079938bf1f50b7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57ac4d48-2eeb-46cd-9c42-48cc4c4e72e0"/>
    <xsd:import namespace="042e8982-6c49-49e4-a280-2ba9bd13325e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File_x0020_status" minOccurs="0"/>
                <xsd:element ref="ns5:MediaServiceDateTaken" minOccurs="0"/>
                <xsd:element ref="ns5:MediaServiceLocation" minOccurs="0"/>
                <xsd:element ref="ns6:SharedWithUsers" minOccurs="0"/>
                <xsd:element ref="ns6:SharedWithDetails" minOccurs="0"/>
                <xsd:element ref="ns1:_ip_UnifiedCompliancePolicyProperties" minOccurs="0"/>
                <xsd:element ref="ns1:_ip_UnifiedCompliancePolicyUIAction" minOccurs="0"/>
                <xsd:element ref="ns5:lcf76f155ced4ddcb4097134ff3c332f" minOccurs="0"/>
                <xsd:element ref="ns5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3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789c3843-6e7c-49e8-a4b9-846446fe4434}" ma:internalName="TaxCatchAllLabel" ma:readOnly="true" ma:showField="CatchAllDataLabel" ma:web="042e8982-6c49-49e4-a280-2ba9bd1332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789c3843-6e7c-49e8-a4b9-846446fe4434}" ma:internalName="TaxCatchAll" ma:showField="CatchAllData" ma:web="042e8982-6c49-49e4-a280-2ba9bd1332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c4d48-2eeb-46cd-9c42-48cc4c4e72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File_x0020_status" ma:index="34" nillable="true" ma:displayName="File status" ma:format="RadioButtons" ma:internalName="File_x0020_status">
      <xsd:simpleType>
        <xsd:restriction base="dms:Choice">
          <xsd:enumeration value="Ready for EPA review"/>
          <xsd:enumeration value="Ready for document compilation team"/>
          <xsd:enumeration value="Needs updating by SL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e8982-6c49-49e4-a280-2ba9bd13325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6FABB4-67E5-4E9B-B6AE-C2F46FB1CF84}"/>
</file>

<file path=customXml/itemProps2.xml><?xml version="1.0" encoding="utf-8"?>
<ds:datastoreItem xmlns:ds="http://schemas.openxmlformats.org/officeDocument/2006/customXml" ds:itemID="{0F14E792-E666-46FC-BCE2-20447D7674C5}"/>
</file>

<file path=customXml/itemProps3.xml><?xml version="1.0" encoding="utf-8"?>
<ds:datastoreItem xmlns:ds="http://schemas.openxmlformats.org/officeDocument/2006/customXml" ds:itemID="{86679FFE-05BB-4FC7-9293-2593514A4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MF-226</vt:lpstr>
      <vt:lpstr>State Codes</vt:lpstr>
      <vt:lpstr>'MF-226'!Print_Titles</vt:lpstr>
      <vt:lpstr>'State Codes'!Print_Titles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cp:lastModifiedBy>Camobreco, Vincent</cp:lastModifiedBy>
  <cp:lastPrinted>2019-03-06T15:53:23Z</cp:lastPrinted>
  <dcterms:created xsi:type="dcterms:W3CDTF">2014-01-29T21:16:11Z</dcterms:created>
  <dcterms:modified xsi:type="dcterms:W3CDTF">2023-05-22T13:25:39Z</dcterms:modified>
</cp:coreProperties>
</file>