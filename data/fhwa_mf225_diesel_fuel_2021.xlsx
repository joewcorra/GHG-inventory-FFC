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5601"/>
  <workbookPr defaultThemeVersion="124226"/>
  <mc:AlternateContent xmlns:mc="http://schemas.openxmlformats.org/markup-compatibility/2006">
    <mc:Choice Requires="x15">
      <x15ac:absPath xmlns:x15ac="http://schemas.microsoft.com/office/spreadsheetml/2010/11/ac" url="https://usepa-my.sharepoint.com/personal/camobreco_vincent_epa_gov/Documents/GHG Inventory/State Level Data/FFC CO2 Inv State Breakout/2021 Calculations/FHWA Data/"/>
    </mc:Choice>
  </mc:AlternateContent>
  <xr:revisionPtr revIDLastSave="16" documentId="13_ncr:1_{472168C1-7DD3-4883-9437-ED76836953F8}" xr6:coauthVersionLast="47" xr6:coauthVersionMax="47" xr10:uidLastSave="{6448630A-E9EC-48E5-8A41-E428E7071E65}"/>
  <bookViews>
    <workbookView xWindow="28680" yWindow="-120" windowWidth="29040" windowHeight="15720" xr2:uid="{00000000-000D-0000-FFFF-FFFF00000000}"/>
  </bookViews>
  <sheets>
    <sheet name="Sheet1" sheetId="2" r:id="rId1"/>
    <sheet name="MF-225" sheetId="1" r:id="rId2"/>
    <sheet name="State Codes" sheetId="3" r:id="rId3"/>
  </sheets>
  <definedNames>
    <definedName name="_xlnm._FilterDatabase" localSheetId="2" hidden="1">'State Codes'!#REF!</definedName>
    <definedName name="_xlnm.Extract" localSheetId="2">'State Codes'!#REF!</definedName>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 name="_xlnm.Print_Titles" localSheetId="1">'MF-225'!$A:$A</definedName>
    <definedName name="_xlnm.Print_Titles" localSheetId="2">'State Codes'!$1:$9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BS53" i="1" l="1"/>
  <c r="AH3" i="2"/>
  <c r="AH4" i="2"/>
  <c r="AH5" i="2"/>
  <c r="AH6" i="2"/>
  <c r="AH7" i="2"/>
  <c r="AH8" i="2"/>
  <c r="AH9" i="2"/>
  <c r="AH10" i="2"/>
  <c r="AH65" i="2" s="1"/>
  <c r="AH11" i="2"/>
  <c r="AH12" i="2"/>
  <c r="AH13" i="2"/>
  <c r="AH14" i="2"/>
  <c r="AH15" i="2"/>
  <c r="AH16" i="2"/>
  <c r="AH17" i="2"/>
  <c r="AH18" i="2"/>
  <c r="AH69" i="2" s="1"/>
  <c r="AH19" i="2"/>
  <c r="AH73" i="2" s="1"/>
  <c r="AH20" i="2"/>
  <c r="AH21" i="2"/>
  <c r="AH22" i="2"/>
  <c r="AH23" i="2"/>
  <c r="AH24" i="2"/>
  <c r="AH25" i="2"/>
  <c r="AH26" i="2"/>
  <c r="AH80" i="2" s="1"/>
  <c r="AH27" i="2"/>
  <c r="AH82" i="2" s="1"/>
  <c r="AH28" i="2"/>
  <c r="AH29" i="2"/>
  <c r="AH30" i="2"/>
  <c r="AH31" i="2"/>
  <c r="AH32" i="2"/>
  <c r="AH33" i="2"/>
  <c r="AH34" i="2"/>
  <c r="AH89" i="2" s="1"/>
  <c r="AH35" i="2"/>
  <c r="AH91" i="2" s="1"/>
  <c r="AH36" i="2"/>
  <c r="AH37" i="2"/>
  <c r="AH38" i="2"/>
  <c r="AH39" i="2"/>
  <c r="AH40" i="2"/>
  <c r="AH41" i="2"/>
  <c r="AH42" i="2"/>
  <c r="AH96" i="2" s="1"/>
  <c r="AH43" i="2"/>
  <c r="AH97" i="2" s="1"/>
  <c r="AH44" i="2"/>
  <c r="AH45" i="2"/>
  <c r="AH46" i="2"/>
  <c r="AH47" i="2"/>
  <c r="AH48" i="2"/>
  <c r="AH49" i="2"/>
  <c r="AH50" i="2"/>
  <c r="AH104" i="2" s="1"/>
  <c r="AH51" i="2"/>
  <c r="AH106" i="2" s="1"/>
  <c r="AH52" i="2"/>
  <c r="AH53" i="2"/>
  <c r="AH107" i="2" s="1"/>
  <c r="AH54" i="2"/>
  <c r="AH57" i="2" s="1"/>
  <c r="AH64" i="2"/>
  <c r="AH67" i="2"/>
  <c r="AH68" i="2"/>
  <c r="AH75" i="2"/>
  <c r="AH78" i="2"/>
  <c r="AH81" i="2"/>
  <c r="AH85" i="2"/>
  <c r="AH86" i="2"/>
  <c r="AH92" i="2"/>
  <c r="AH95" i="2"/>
  <c r="AH99" i="2"/>
  <c r="AH100" i="2"/>
  <c r="AH105" i="2"/>
  <c r="AG54" i="2"/>
  <c r="AF54" i="2"/>
  <c r="AE54" i="2"/>
  <c r="AD54" i="2"/>
  <c r="AC54" i="2"/>
  <c r="AB54" i="2"/>
  <c r="AA54" i="2"/>
  <c r="Z54" i="2"/>
  <c r="Y54" i="2"/>
  <c r="X54" i="2"/>
  <c r="W54" i="2"/>
  <c r="V54" i="2"/>
  <c r="U54" i="2"/>
  <c r="T54" i="2"/>
  <c r="S54" i="2"/>
  <c r="R54" i="2"/>
  <c r="Q54" i="2"/>
  <c r="P54" i="2"/>
  <c r="O54" i="2"/>
  <c r="N54" i="2"/>
  <c r="M54" i="2"/>
  <c r="L54" i="2"/>
  <c r="K54" i="2"/>
  <c r="J54" i="2"/>
  <c r="I54" i="2"/>
  <c r="H54" i="2"/>
  <c r="G54" i="2"/>
  <c r="F54" i="2"/>
  <c r="E54" i="2"/>
  <c r="D54" i="2"/>
  <c r="C54" i="2"/>
  <c r="AG53" i="2"/>
  <c r="AF53" i="2"/>
  <c r="AE53" i="2"/>
  <c r="AD53" i="2"/>
  <c r="AC53" i="2"/>
  <c r="AB53" i="2"/>
  <c r="AA53" i="2"/>
  <c r="Z53" i="2"/>
  <c r="Y53" i="2"/>
  <c r="X53" i="2"/>
  <c r="W53" i="2"/>
  <c r="V53" i="2"/>
  <c r="U53" i="2"/>
  <c r="T53" i="2"/>
  <c r="S53" i="2"/>
  <c r="R53" i="2"/>
  <c r="Q53" i="2"/>
  <c r="P53" i="2"/>
  <c r="O53" i="2"/>
  <c r="N53" i="2"/>
  <c r="M53" i="2"/>
  <c r="L53" i="2"/>
  <c r="K53" i="2"/>
  <c r="J53" i="2"/>
  <c r="I53" i="2"/>
  <c r="H53" i="2"/>
  <c r="G53" i="2"/>
  <c r="F53" i="2"/>
  <c r="E53" i="2"/>
  <c r="D53" i="2"/>
  <c r="C53" i="2"/>
  <c r="AG52" i="2"/>
  <c r="AF52" i="2"/>
  <c r="AE52" i="2"/>
  <c r="AD52" i="2"/>
  <c r="AC52" i="2"/>
  <c r="AB52" i="2"/>
  <c r="AA52" i="2"/>
  <c r="Z52" i="2"/>
  <c r="Y52" i="2"/>
  <c r="X52" i="2"/>
  <c r="W52" i="2"/>
  <c r="V52" i="2"/>
  <c r="U52" i="2"/>
  <c r="T52" i="2"/>
  <c r="S52" i="2"/>
  <c r="R52" i="2"/>
  <c r="Q52" i="2"/>
  <c r="P52" i="2"/>
  <c r="O52" i="2"/>
  <c r="N52" i="2"/>
  <c r="M52" i="2"/>
  <c r="L52" i="2"/>
  <c r="K52" i="2"/>
  <c r="J52" i="2"/>
  <c r="I52" i="2"/>
  <c r="H52" i="2"/>
  <c r="G52" i="2"/>
  <c r="F52" i="2"/>
  <c r="E52" i="2"/>
  <c r="D52" i="2"/>
  <c r="C52" i="2"/>
  <c r="AG51" i="2"/>
  <c r="AF51" i="2"/>
  <c r="AE51" i="2"/>
  <c r="AD51" i="2"/>
  <c r="AC51" i="2"/>
  <c r="AB51" i="2"/>
  <c r="AA51" i="2"/>
  <c r="Z51" i="2"/>
  <c r="Y51" i="2"/>
  <c r="X51" i="2"/>
  <c r="W51" i="2"/>
  <c r="V51" i="2"/>
  <c r="U51" i="2"/>
  <c r="T51" i="2"/>
  <c r="S51" i="2"/>
  <c r="R51" i="2"/>
  <c r="Q51" i="2"/>
  <c r="P51" i="2"/>
  <c r="O51" i="2"/>
  <c r="N51" i="2"/>
  <c r="M51" i="2"/>
  <c r="L51" i="2"/>
  <c r="K51" i="2"/>
  <c r="J51" i="2"/>
  <c r="I51" i="2"/>
  <c r="H51" i="2"/>
  <c r="G51" i="2"/>
  <c r="F51" i="2"/>
  <c r="E51" i="2"/>
  <c r="D51" i="2"/>
  <c r="C51" i="2"/>
  <c r="AG50" i="2"/>
  <c r="AF50" i="2"/>
  <c r="AE50" i="2"/>
  <c r="AD50" i="2"/>
  <c r="AC50" i="2"/>
  <c r="AB50" i="2"/>
  <c r="AA50" i="2"/>
  <c r="Z50" i="2"/>
  <c r="Y50" i="2"/>
  <c r="X50" i="2"/>
  <c r="W50" i="2"/>
  <c r="V50" i="2"/>
  <c r="U50" i="2"/>
  <c r="T50" i="2"/>
  <c r="S50" i="2"/>
  <c r="R50" i="2"/>
  <c r="Q50" i="2"/>
  <c r="P50" i="2"/>
  <c r="O50" i="2"/>
  <c r="N50" i="2"/>
  <c r="M50" i="2"/>
  <c r="L50" i="2"/>
  <c r="K50" i="2"/>
  <c r="J50" i="2"/>
  <c r="I50" i="2"/>
  <c r="H50" i="2"/>
  <c r="G50" i="2"/>
  <c r="F50" i="2"/>
  <c r="E50" i="2"/>
  <c r="D50" i="2"/>
  <c r="C50" i="2"/>
  <c r="AG49" i="2"/>
  <c r="AF49" i="2"/>
  <c r="AE49" i="2"/>
  <c r="AD49" i="2"/>
  <c r="AC49" i="2"/>
  <c r="AB49" i="2"/>
  <c r="AA49" i="2"/>
  <c r="Z49" i="2"/>
  <c r="Y49" i="2"/>
  <c r="X49" i="2"/>
  <c r="W49" i="2"/>
  <c r="V49" i="2"/>
  <c r="U49" i="2"/>
  <c r="T49" i="2"/>
  <c r="S49" i="2"/>
  <c r="R49" i="2"/>
  <c r="Q49" i="2"/>
  <c r="P49" i="2"/>
  <c r="O49" i="2"/>
  <c r="N49" i="2"/>
  <c r="M49" i="2"/>
  <c r="L49" i="2"/>
  <c r="K49" i="2"/>
  <c r="J49" i="2"/>
  <c r="I49" i="2"/>
  <c r="H49" i="2"/>
  <c r="G49" i="2"/>
  <c r="F49" i="2"/>
  <c r="E49" i="2"/>
  <c r="D49" i="2"/>
  <c r="C49" i="2"/>
  <c r="AG48" i="2"/>
  <c r="AF48" i="2"/>
  <c r="AE48" i="2"/>
  <c r="AD48" i="2"/>
  <c r="AC48" i="2"/>
  <c r="AB48" i="2"/>
  <c r="AA48" i="2"/>
  <c r="Z48" i="2"/>
  <c r="Y48" i="2"/>
  <c r="X48" i="2"/>
  <c r="W48" i="2"/>
  <c r="V48" i="2"/>
  <c r="U48" i="2"/>
  <c r="T48" i="2"/>
  <c r="S48" i="2"/>
  <c r="R48" i="2"/>
  <c r="Q48" i="2"/>
  <c r="P48" i="2"/>
  <c r="O48" i="2"/>
  <c r="N48" i="2"/>
  <c r="M48" i="2"/>
  <c r="L48" i="2"/>
  <c r="K48" i="2"/>
  <c r="J48" i="2"/>
  <c r="I48" i="2"/>
  <c r="H48" i="2"/>
  <c r="G48" i="2"/>
  <c r="F48" i="2"/>
  <c r="E48" i="2"/>
  <c r="D48" i="2"/>
  <c r="C48" i="2"/>
  <c r="AG47" i="2"/>
  <c r="AF47" i="2"/>
  <c r="AE47" i="2"/>
  <c r="AD47" i="2"/>
  <c r="AC47" i="2"/>
  <c r="AB47" i="2"/>
  <c r="AA47" i="2"/>
  <c r="Z47" i="2"/>
  <c r="Y47" i="2"/>
  <c r="X47" i="2"/>
  <c r="W47" i="2"/>
  <c r="V47" i="2"/>
  <c r="U47" i="2"/>
  <c r="T47" i="2"/>
  <c r="S47" i="2"/>
  <c r="R47" i="2"/>
  <c r="Q47" i="2"/>
  <c r="P47" i="2"/>
  <c r="O47" i="2"/>
  <c r="N47" i="2"/>
  <c r="M47" i="2"/>
  <c r="L47" i="2"/>
  <c r="K47" i="2"/>
  <c r="J47" i="2"/>
  <c r="I47" i="2"/>
  <c r="H47" i="2"/>
  <c r="G47" i="2"/>
  <c r="F47" i="2"/>
  <c r="E47" i="2"/>
  <c r="D47" i="2"/>
  <c r="C47" i="2"/>
  <c r="AG46" i="2"/>
  <c r="AF46" i="2"/>
  <c r="AE46" i="2"/>
  <c r="AD46" i="2"/>
  <c r="AC46" i="2"/>
  <c r="AB46" i="2"/>
  <c r="AA46" i="2"/>
  <c r="Z46" i="2"/>
  <c r="Y46" i="2"/>
  <c r="X46" i="2"/>
  <c r="W46" i="2"/>
  <c r="V46" i="2"/>
  <c r="U46" i="2"/>
  <c r="T46" i="2"/>
  <c r="S46" i="2"/>
  <c r="R46" i="2"/>
  <c r="Q46" i="2"/>
  <c r="P46" i="2"/>
  <c r="O46" i="2"/>
  <c r="N46" i="2"/>
  <c r="M46" i="2"/>
  <c r="L46" i="2"/>
  <c r="K46" i="2"/>
  <c r="J46" i="2"/>
  <c r="I46" i="2"/>
  <c r="H46" i="2"/>
  <c r="G46" i="2"/>
  <c r="F46" i="2"/>
  <c r="E46" i="2"/>
  <c r="D46" i="2"/>
  <c r="C46" i="2"/>
  <c r="AG45" i="2"/>
  <c r="AF45" i="2"/>
  <c r="AE45" i="2"/>
  <c r="AD45" i="2"/>
  <c r="AC45" i="2"/>
  <c r="AB45" i="2"/>
  <c r="AA45" i="2"/>
  <c r="Z45" i="2"/>
  <c r="Y45" i="2"/>
  <c r="X45" i="2"/>
  <c r="W45" i="2"/>
  <c r="V45" i="2"/>
  <c r="U45" i="2"/>
  <c r="T45" i="2"/>
  <c r="S45" i="2"/>
  <c r="R45" i="2"/>
  <c r="Q45" i="2"/>
  <c r="P45" i="2"/>
  <c r="O45" i="2"/>
  <c r="N45" i="2"/>
  <c r="M45" i="2"/>
  <c r="L45" i="2"/>
  <c r="K45" i="2"/>
  <c r="J45" i="2"/>
  <c r="I45" i="2"/>
  <c r="H45" i="2"/>
  <c r="G45" i="2"/>
  <c r="F45" i="2"/>
  <c r="E45" i="2"/>
  <c r="D45" i="2"/>
  <c r="C45" i="2"/>
  <c r="AG44" i="2"/>
  <c r="AF44" i="2"/>
  <c r="AE44" i="2"/>
  <c r="AD44" i="2"/>
  <c r="AC44" i="2"/>
  <c r="AB44" i="2"/>
  <c r="AA44" i="2"/>
  <c r="Z44" i="2"/>
  <c r="Y44" i="2"/>
  <c r="X44" i="2"/>
  <c r="W44" i="2"/>
  <c r="V44" i="2"/>
  <c r="U44" i="2"/>
  <c r="T44" i="2"/>
  <c r="S44" i="2"/>
  <c r="R44" i="2"/>
  <c r="Q44" i="2"/>
  <c r="P44" i="2"/>
  <c r="O44" i="2"/>
  <c r="N44" i="2"/>
  <c r="M44" i="2"/>
  <c r="L44" i="2"/>
  <c r="K44" i="2"/>
  <c r="J44" i="2"/>
  <c r="I44" i="2"/>
  <c r="H44" i="2"/>
  <c r="G44" i="2"/>
  <c r="F44" i="2"/>
  <c r="E44" i="2"/>
  <c r="D44" i="2"/>
  <c r="C44" i="2"/>
  <c r="AG43" i="2"/>
  <c r="AF43" i="2"/>
  <c r="AE43" i="2"/>
  <c r="AD43" i="2"/>
  <c r="AC43" i="2"/>
  <c r="AB43" i="2"/>
  <c r="AA43" i="2"/>
  <c r="Z43" i="2"/>
  <c r="Y43" i="2"/>
  <c r="X43" i="2"/>
  <c r="W43" i="2"/>
  <c r="V43" i="2"/>
  <c r="U43" i="2"/>
  <c r="T43" i="2"/>
  <c r="S43" i="2"/>
  <c r="R43" i="2"/>
  <c r="Q43" i="2"/>
  <c r="P43" i="2"/>
  <c r="O43" i="2"/>
  <c r="N43" i="2"/>
  <c r="M43" i="2"/>
  <c r="L43" i="2"/>
  <c r="K43" i="2"/>
  <c r="J43" i="2"/>
  <c r="I43" i="2"/>
  <c r="H43" i="2"/>
  <c r="G43" i="2"/>
  <c r="F43" i="2"/>
  <c r="E43" i="2"/>
  <c r="D43" i="2"/>
  <c r="C43" i="2"/>
  <c r="AG42" i="2"/>
  <c r="AF42" i="2"/>
  <c r="AE42" i="2"/>
  <c r="AD42" i="2"/>
  <c r="AC42" i="2"/>
  <c r="AB42" i="2"/>
  <c r="AA42" i="2"/>
  <c r="Z42" i="2"/>
  <c r="Y42" i="2"/>
  <c r="X42" i="2"/>
  <c r="W42" i="2"/>
  <c r="V42" i="2"/>
  <c r="U42" i="2"/>
  <c r="T42" i="2"/>
  <c r="S42" i="2"/>
  <c r="R42" i="2"/>
  <c r="Q42" i="2"/>
  <c r="P42" i="2"/>
  <c r="O42" i="2"/>
  <c r="N42" i="2"/>
  <c r="M42" i="2"/>
  <c r="L42" i="2"/>
  <c r="K42" i="2"/>
  <c r="J42" i="2"/>
  <c r="I42" i="2"/>
  <c r="H42" i="2"/>
  <c r="G42" i="2"/>
  <c r="F42" i="2"/>
  <c r="E42" i="2"/>
  <c r="D42" i="2"/>
  <c r="C42" i="2"/>
  <c r="AG41" i="2"/>
  <c r="AF41" i="2"/>
  <c r="AE41" i="2"/>
  <c r="AD41" i="2"/>
  <c r="AC41" i="2"/>
  <c r="AB41" i="2"/>
  <c r="AA41" i="2"/>
  <c r="Z41" i="2"/>
  <c r="Y41" i="2"/>
  <c r="X41" i="2"/>
  <c r="W41" i="2"/>
  <c r="V41" i="2"/>
  <c r="U41" i="2"/>
  <c r="T41" i="2"/>
  <c r="S41" i="2"/>
  <c r="R41" i="2"/>
  <c r="Q41" i="2"/>
  <c r="P41" i="2"/>
  <c r="O41" i="2"/>
  <c r="N41" i="2"/>
  <c r="M41" i="2"/>
  <c r="L41" i="2"/>
  <c r="K41" i="2"/>
  <c r="J41" i="2"/>
  <c r="I41" i="2"/>
  <c r="H41" i="2"/>
  <c r="G41" i="2"/>
  <c r="F41" i="2"/>
  <c r="E41" i="2"/>
  <c r="D41" i="2"/>
  <c r="C41" i="2"/>
  <c r="AG40" i="2"/>
  <c r="AF40" i="2"/>
  <c r="AE40" i="2"/>
  <c r="AD40" i="2"/>
  <c r="AC40" i="2"/>
  <c r="AB40" i="2"/>
  <c r="AA40" i="2"/>
  <c r="Z40" i="2"/>
  <c r="Y40" i="2"/>
  <c r="X40" i="2"/>
  <c r="W40" i="2"/>
  <c r="V40" i="2"/>
  <c r="U40" i="2"/>
  <c r="T40" i="2"/>
  <c r="S40" i="2"/>
  <c r="R40" i="2"/>
  <c r="Q40" i="2"/>
  <c r="P40" i="2"/>
  <c r="O40" i="2"/>
  <c r="N40" i="2"/>
  <c r="M40" i="2"/>
  <c r="L40" i="2"/>
  <c r="K40" i="2"/>
  <c r="J40" i="2"/>
  <c r="I40" i="2"/>
  <c r="H40" i="2"/>
  <c r="G40" i="2"/>
  <c r="F40" i="2"/>
  <c r="E40" i="2"/>
  <c r="D40" i="2"/>
  <c r="C40" i="2"/>
  <c r="AG39" i="2"/>
  <c r="AF39" i="2"/>
  <c r="AE39" i="2"/>
  <c r="AD39" i="2"/>
  <c r="AC39" i="2"/>
  <c r="AB39" i="2"/>
  <c r="AA39" i="2"/>
  <c r="Z39" i="2"/>
  <c r="Y39" i="2"/>
  <c r="X39" i="2"/>
  <c r="W39" i="2"/>
  <c r="V39" i="2"/>
  <c r="U39" i="2"/>
  <c r="T39" i="2"/>
  <c r="S39" i="2"/>
  <c r="R39" i="2"/>
  <c r="Q39" i="2"/>
  <c r="P39" i="2"/>
  <c r="O39" i="2"/>
  <c r="N39" i="2"/>
  <c r="M39" i="2"/>
  <c r="L39" i="2"/>
  <c r="K39" i="2"/>
  <c r="J39" i="2"/>
  <c r="I39" i="2"/>
  <c r="H39" i="2"/>
  <c r="G39" i="2"/>
  <c r="F39" i="2"/>
  <c r="E39" i="2"/>
  <c r="D39" i="2"/>
  <c r="C39" i="2"/>
  <c r="AG38" i="2"/>
  <c r="AF38" i="2"/>
  <c r="AE38" i="2"/>
  <c r="AD38" i="2"/>
  <c r="AC38" i="2"/>
  <c r="AB38" i="2"/>
  <c r="AA38" i="2"/>
  <c r="Z38" i="2"/>
  <c r="Y38" i="2"/>
  <c r="X38" i="2"/>
  <c r="W38" i="2"/>
  <c r="V38" i="2"/>
  <c r="U38" i="2"/>
  <c r="T38" i="2"/>
  <c r="S38" i="2"/>
  <c r="R38" i="2"/>
  <c r="Q38" i="2"/>
  <c r="P38" i="2"/>
  <c r="O38" i="2"/>
  <c r="N38" i="2"/>
  <c r="M38" i="2"/>
  <c r="L38" i="2"/>
  <c r="K38" i="2"/>
  <c r="J38" i="2"/>
  <c r="I38" i="2"/>
  <c r="H38" i="2"/>
  <c r="G38" i="2"/>
  <c r="F38" i="2"/>
  <c r="E38" i="2"/>
  <c r="D38" i="2"/>
  <c r="C38" i="2"/>
  <c r="AG37" i="2"/>
  <c r="AF37" i="2"/>
  <c r="AE37" i="2"/>
  <c r="AD37" i="2"/>
  <c r="AC37" i="2"/>
  <c r="AB37" i="2"/>
  <c r="AA37" i="2"/>
  <c r="Z37" i="2"/>
  <c r="Y37" i="2"/>
  <c r="X37" i="2"/>
  <c r="W37" i="2"/>
  <c r="V37" i="2"/>
  <c r="U37" i="2"/>
  <c r="T37" i="2"/>
  <c r="S37" i="2"/>
  <c r="R37" i="2"/>
  <c r="Q37" i="2"/>
  <c r="P37" i="2"/>
  <c r="O37" i="2"/>
  <c r="N37" i="2"/>
  <c r="M37" i="2"/>
  <c r="L37" i="2"/>
  <c r="K37" i="2"/>
  <c r="J37" i="2"/>
  <c r="I37" i="2"/>
  <c r="H37" i="2"/>
  <c r="G37" i="2"/>
  <c r="F37" i="2"/>
  <c r="E37" i="2"/>
  <c r="D37" i="2"/>
  <c r="C37" i="2"/>
  <c r="AG36" i="2"/>
  <c r="AF36" i="2"/>
  <c r="AE36" i="2"/>
  <c r="AD36" i="2"/>
  <c r="AC36" i="2"/>
  <c r="AB36" i="2"/>
  <c r="AA36" i="2"/>
  <c r="Z36" i="2"/>
  <c r="Y36" i="2"/>
  <c r="X36" i="2"/>
  <c r="W36" i="2"/>
  <c r="V36" i="2"/>
  <c r="U36" i="2"/>
  <c r="T36" i="2"/>
  <c r="S36" i="2"/>
  <c r="R36" i="2"/>
  <c r="Q36" i="2"/>
  <c r="P36" i="2"/>
  <c r="O36" i="2"/>
  <c r="N36" i="2"/>
  <c r="M36" i="2"/>
  <c r="L36" i="2"/>
  <c r="K36" i="2"/>
  <c r="J36" i="2"/>
  <c r="I36" i="2"/>
  <c r="H36" i="2"/>
  <c r="G36" i="2"/>
  <c r="F36" i="2"/>
  <c r="E36" i="2"/>
  <c r="D36" i="2"/>
  <c r="C36" i="2"/>
  <c r="AG35" i="2"/>
  <c r="AF35" i="2"/>
  <c r="AE35" i="2"/>
  <c r="AD35" i="2"/>
  <c r="AC35" i="2"/>
  <c r="AB35" i="2"/>
  <c r="AA35" i="2"/>
  <c r="Z35" i="2"/>
  <c r="Y35" i="2"/>
  <c r="X35" i="2"/>
  <c r="W35" i="2"/>
  <c r="V35" i="2"/>
  <c r="U35" i="2"/>
  <c r="T35" i="2"/>
  <c r="S35" i="2"/>
  <c r="R35" i="2"/>
  <c r="Q35" i="2"/>
  <c r="P35" i="2"/>
  <c r="O35" i="2"/>
  <c r="N35" i="2"/>
  <c r="M35" i="2"/>
  <c r="L35" i="2"/>
  <c r="K35" i="2"/>
  <c r="J35" i="2"/>
  <c r="I35" i="2"/>
  <c r="H35" i="2"/>
  <c r="G35" i="2"/>
  <c r="F35" i="2"/>
  <c r="E35" i="2"/>
  <c r="D35" i="2"/>
  <c r="C35" i="2"/>
  <c r="AG34" i="2"/>
  <c r="AF34" i="2"/>
  <c r="AE34" i="2"/>
  <c r="AD34" i="2"/>
  <c r="AC34" i="2"/>
  <c r="AB34" i="2"/>
  <c r="AA34" i="2"/>
  <c r="Z34" i="2"/>
  <c r="Y34" i="2"/>
  <c r="X34" i="2"/>
  <c r="W34" i="2"/>
  <c r="V34" i="2"/>
  <c r="U34" i="2"/>
  <c r="T34" i="2"/>
  <c r="S34" i="2"/>
  <c r="R34" i="2"/>
  <c r="Q34" i="2"/>
  <c r="P34" i="2"/>
  <c r="O34" i="2"/>
  <c r="N34" i="2"/>
  <c r="M34" i="2"/>
  <c r="L34" i="2"/>
  <c r="K34" i="2"/>
  <c r="J34" i="2"/>
  <c r="I34" i="2"/>
  <c r="H34" i="2"/>
  <c r="G34" i="2"/>
  <c r="F34" i="2"/>
  <c r="E34" i="2"/>
  <c r="D34" i="2"/>
  <c r="C34" i="2"/>
  <c r="AG33" i="2"/>
  <c r="AF33" i="2"/>
  <c r="AE33" i="2"/>
  <c r="AD33" i="2"/>
  <c r="AC33" i="2"/>
  <c r="AB33" i="2"/>
  <c r="AA33" i="2"/>
  <c r="Z33" i="2"/>
  <c r="Y33" i="2"/>
  <c r="X33" i="2"/>
  <c r="W33" i="2"/>
  <c r="V33" i="2"/>
  <c r="U33" i="2"/>
  <c r="T33" i="2"/>
  <c r="S33" i="2"/>
  <c r="R33" i="2"/>
  <c r="Q33" i="2"/>
  <c r="P33" i="2"/>
  <c r="O33" i="2"/>
  <c r="N33" i="2"/>
  <c r="M33" i="2"/>
  <c r="L33" i="2"/>
  <c r="K33" i="2"/>
  <c r="J33" i="2"/>
  <c r="I33" i="2"/>
  <c r="H33" i="2"/>
  <c r="G33" i="2"/>
  <c r="F33" i="2"/>
  <c r="E33" i="2"/>
  <c r="D33" i="2"/>
  <c r="C33" i="2"/>
  <c r="AG32" i="2"/>
  <c r="AF32" i="2"/>
  <c r="AE32" i="2"/>
  <c r="AD32" i="2"/>
  <c r="AC32" i="2"/>
  <c r="AB32" i="2"/>
  <c r="AA32" i="2"/>
  <c r="Z32" i="2"/>
  <c r="Y32" i="2"/>
  <c r="X32" i="2"/>
  <c r="W32" i="2"/>
  <c r="V32" i="2"/>
  <c r="U32" i="2"/>
  <c r="T32" i="2"/>
  <c r="S32" i="2"/>
  <c r="R32" i="2"/>
  <c r="Q32" i="2"/>
  <c r="P32" i="2"/>
  <c r="O32" i="2"/>
  <c r="N32" i="2"/>
  <c r="M32" i="2"/>
  <c r="L32" i="2"/>
  <c r="K32" i="2"/>
  <c r="J32" i="2"/>
  <c r="I32" i="2"/>
  <c r="H32" i="2"/>
  <c r="G32" i="2"/>
  <c r="F32" i="2"/>
  <c r="E32" i="2"/>
  <c r="D32" i="2"/>
  <c r="C32" i="2"/>
  <c r="AG31" i="2"/>
  <c r="AF31" i="2"/>
  <c r="AE31" i="2"/>
  <c r="AD31" i="2"/>
  <c r="AC31" i="2"/>
  <c r="AB31" i="2"/>
  <c r="AA31" i="2"/>
  <c r="Z31" i="2"/>
  <c r="Y31" i="2"/>
  <c r="X31" i="2"/>
  <c r="W31" i="2"/>
  <c r="V31" i="2"/>
  <c r="U31" i="2"/>
  <c r="T31" i="2"/>
  <c r="S31" i="2"/>
  <c r="R31" i="2"/>
  <c r="Q31" i="2"/>
  <c r="P31" i="2"/>
  <c r="O31" i="2"/>
  <c r="N31" i="2"/>
  <c r="M31" i="2"/>
  <c r="L31" i="2"/>
  <c r="K31" i="2"/>
  <c r="J31" i="2"/>
  <c r="I31" i="2"/>
  <c r="H31" i="2"/>
  <c r="G31" i="2"/>
  <c r="F31" i="2"/>
  <c r="E31" i="2"/>
  <c r="D31" i="2"/>
  <c r="C31" i="2"/>
  <c r="AG30" i="2"/>
  <c r="AF30" i="2"/>
  <c r="AE30" i="2"/>
  <c r="AD30" i="2"/>
  <c r="AC30" i="2"/>
  <c r="AB30" i="2"/>
  <c r="AA30" i="2"/>
  <c r="Z30" i="2"/>
  <c r="Y30" i="2"/>
  <c r="X30" i="2"/>
  <c r="W30" i="2"/>
  <c r="V30" i="2"/>
  <c r="U30" i="2"/>
  <c r="T30" i="2"/>
  <c r="S30" i="2"/>
  <c r="R30" i="2"/>
  <c r="Q30" i="2"/>
  <c r="P30" i="2"/>
  <c r="O30" i="2"/>
  <c r="N30" i="2"/>
  <c r="M30" i="2"/>
  <c r="L30" i="2"/>
  <c r="K30" i="2"/>
  <c r="J30" i="2"/>
  <c r="I30" i="2"/>
  <c r="H30" i="2"/>
  <c r="G30" i="2"/>
  <c r="F30" i="2"/>
  <c r="E30" i="2"/>
  <c r="D30" i="2"/>
  <c r="C30" i="2"/>
  <c r="AG29" i="2"/>
  <c r="AF29" i="2"/>
  <c r="AE29" i="2"/>
  <c r="AD29" i="2"/>
  <c r="AC29" i="2"/>
  <c r="AB29" i="2"/>
  <c r="AA29" i="2"/>
  <c r="Z29" i="2"/>
  <c r="Y29" i="2"/>
  <c r="X29" i="2"/>
  <c r="W29" i="2"/>
  <c r="V29" i="2"/>
  <c r="U29" i="2"/>
  <c r="T29" i="2"/>
  <c r="S29" i="2"/>
  <c r="R29" i="2"/>
  <c r="Q29" i="2"/>
  <c r="P29" i="2"/>
  <c r="O29" i="2"/>
  <c r="N29" i="2"/>
  <c r="M29" i="2"/>
  <c r="L29" i="2"/>
  <c r="K29" i="2"/>
  <c r="J29" i="2"/>
  <c r="I29" i="2"/>
  <c r="H29" i="2"/>
  <c r="G29" i="2"/>
  <c r="F29" i="2"/>
  <c r="E29" i="2"/>
  <c r="D29" i="2"/>
  <c r="C29" i="2"/>
  <c r="AG28" i="2"/>
  <c r="AF28" i="2"/>
  <c r="AE28" i="2"/>
  <c r="AD28" i="2"/>
  <c r="AC28" i="2"/>
  <c r="AB28" i="2"/>
  <c r="AA28" i="2"/>
  <c r="Z28" i="2"/>
  <c r="Y28" i="2"/>
  <c r="X28" i="2"/>
  <c r="W28" i="2"/>
  <c r="V28" i="2"/>
  <c r="U28" i="2"/>
  <c r="T28" i="2"/>
  <c r="S28" i="2"/>
  <c r="R28" i="2"/>
  <c r="Q28" i="2"/>
  <c r="P28" i="2"/>
  <c r="O28" i="2"/>
  <c r="N28" i="2"/>
  <c r="M28" i="2"/>
  <c r="L28" i="2"/>
  <c r="K28" i="2"/>
  <c r="J28" i="2"/>
  <c r="I28" i="2"/>
  <c r="H28" i="2"/>
  <c r="G28" i="2"/>
  <c r="F28" i="2"/>
  <c r="E28" i="2"/>
  <c r="D28" i="2"/>
  <c r="C28" i="2"/>
  <c r="AG27" i="2"/>
  <c r="AF27" i="2"/>
  <c r="AE27" i="2"/>
  <c r="AD27" i="2"/>
  <c r="AC27" i="2"/>
  <c r="AB27" i="2"/>
  <c r="AA27" i="2"/>
  <c r="Z27" i="2"/>
  <c r="Y27" i="2"/>
  <c r="X27" i="2"/>
  <c r="W27" i="2"/>
  <c r="V27" i="2"/>
  <c r="U27" i="2"/>
  <c r="T27" i="2"/>
  <c r="S27" i="2"/>
  <c r="R27" i="2"/>
  <c r="Q27" i="2"/>
  <c r="P27" i="2"/>
  <c r="O27" i="2"/>
  <c r="N27" i="2"/>
  <c r="M27" i="2"/>
  <c r="L27" i="2"/>
  <c r="K27" i="2"/>
  <c r="J27" i="2"/>
  <c r="I27" i="2"/>
  <c r="H27" i="2"/>
  <c r="G27" i="2"/>
  <c r="F27" i="2"/>
  <c r="E27" i="2"/>
  <c r="D27" i="2"/>
  <c r="C27" i="2"/>
  <c r="AG26" i="2"/>
  <c r="AF26" i="2"/>
  <c r="AE26" i="2"/>
  <c r="AD26" i="2"/>
  <c r="AC26" i="2"/>
  <c r="AB26" i="2"/>
  <c r="AA26" i="2"/>
  <c r="Z26" i="2"/>
  <c r="Y26" i="2"/>
  <c r="X26" i="2"/>
  <c r="W26" i="2"/>
  <c r="V26" i="2"/>
  <c r="U26" i="2"/>
  <c r="T26" i="2"/>
  <c r="S26" i="2"/>
  <c r="R26" i="2"/>
  <c r="Q26" i="2"/>
  <c r="P26" i="2"/>
  <c r="O26" i="2"/>
  <c r="N26" i="2"/>
  <c r="M26" i="2"/>
  <c r="L26" i="2"/>
  <c r="K26" i="2"/>
  <c r="J26" i="2"/>
  <c r="I26" i="2"/>
  <c r="H26" i="2"/>
  <c r="G26" i="2"/>
  <c r="F26" i="2"/>
  <c r="E26" i="2"/>
  <c r="D26" i="2"/>
  <c r="C26" i="2"/>
  <c r="AG25" i="2"/>
  <c r="AF25" i="2"/>
  <c r="AE25" i="2"/>
  <c r="AD25" i="2"/>
  <c r="AC25" i="2"/>
  <c r="AB25" i="2"/>
  <c r="AA25" i="2"/>
  <c r="Z25" i="2"/>
  <c r="Y25" i="2"/>
  <c r="X25" i="2"/>
  <c r="W25" i="2"/>
  <c r="V25" i="2"/>
  <c r="U25" i="2"/>
  <c r="T25" i="2"/>
  <c r="S25" i="2"/>
  <c r="R25" i="2"/>
  <c r="Q25" i="2"/>
  <c r="P25" i="2"/>
  <c r="O25" i="2"/>
  <c r="N25" i="2"/>
  <c r="M25" i="2"/>
  <c r="L25" i="2"/>
  <c r="K25" i="2"/>
  <c r="J25" i="2"/>
  <c r="I25" i="2"/>
  <c r="H25" i="2"/>
  <c r="G25" i="2"/>
  <c r="F25" i="2"/>
  <c r="E25" i="2"/>
  <c r="D25" i="2"/>
  <c r="C25" i="2"/>
  <c r="AG24" i="2"/>
  <c r="AF24" i="2"/>
  <c r="AE24" i="2"/>
  <c r="AD24" i="2"/>
  <c r="AC24" i="2"/>
  <c r="AB24" i="2"/>
  <c r="AA24" i="2"/>
  <c r="Z24" i="2"/>
  <c r="Y24" i="2"/>
  <c r="X24" i="2"/>
  <c r="W24" i="2"/>
  <c r="V24" i="2"/>
  <c r="U24" i="2"/>
  <c r="T24" i="2"/>
  <c r="S24" i="2"/>
  <c r="R24" i="2"/>
  <c r="Q24" i="2"/>
  <c r="P24" i="2"/>
  <c r="O24" i="2"/>
  <c r="N24" i="2"/>
  <c r="M24" i="2"/>
  <c r="L24" i="2"/>
  <c r="K24" i="2"/>
  <c r="J24" i="2"/>
  <c r="I24" i="2"/>
  <c r="H24" i="2"/>
  <c r="G24" i="2"/>
  <c r="F24" i="2"/>
  <c r="E24" i="2"/>
  <c r="D24" i="2"/>
  <c r="C24" i="2"/>
  <c r="AG23" i="2"/>
  <c r="AF23" i="2"/>
  <c r="AE23" i="2"/>
  <c r="AD23" i="2"/>
  <c r="AC23" i="2"/>
  <c r="AB23" i="2"/>
  <c r="AA23" i="2"/>
  <c r="Z23" i="2"/>
  <c r="Y23" i="2"/>
  <c r="X23" i="2"/>
  <c r="W23" i="2"/>
  <c r="V23" i="2"/>
  <c r="U23" i="2"/>
  <c r="T23" i="2"/>
  <c r="S23" i="2"/>
  <c r="R23" i="2"/>
  <c r="Q23" i="2"/>
  <c r="P23" i="2"/>
  <c r="O23" i="2"/>
  <c r="N23" i="2"/>
  <c r="M23" i="2"/>
  <c r="L23" i="2"/>
  <c r="K23" i="2"/>
  <c r="J23" i="2"/>
  <c r="I23" i="2"/>
  <c r="H23" i="2"/>
  <c r="G23" i="2"/>
  <c r="F23" i="2"/>
  <c r="E23" i="2"/>
  <c r="D23" i="2"/>
  <c r="C23" i="2"/>
  <c r="AG22" i="2"/>
  <c r="AF22" i="2"/>
  <c r="AE22" i="2"/>
  <c r="AD22" i="2"/>
  <c r="AC22" i="2"/>
  <c r="AB22" i="2"/>
  <c r="AA22" i="2"/>
  <c r="Z22" i="2"/>
  <c r="Y22" i="2"/>
  <c r="X22" i="2"/>
  <c r="W22" i="2"/>
  <c r="V22" i="2"/>
  <c r="U22" i="2"/>
  <c r="T22" i="2"/>
  <c r="S22" i="2"/>
  <c r="R22" i="2"/>
  <c r="Q22" i="2"/>
  <c r="P22" i="2"/>
  <c r="O22" i="2"/>
  <c r="N22" i="2"/>
  <c r="M22" i="2"/>
  <c r="L22" i="2"/>
  <c r="K22" i="2"/>
  <c r="J22" i="2"/>
  <c r="I22" i="2"/>
  <c r="H22" i="2"/>
  <c r="G22" i="2"/>
  <c r="F22" i="2"/>
  <c r="E22" i="2"/>
  <c r="D22" i="2"/>
  <c r="C22" i="2"/>
  <c r="AG21" i="2"/>
  <c r="AF21" i="2"/>
  <c r="AE21" i="2"/>
  <c r="AD21" i="2"/>
  <c r="AC21" i="2"/>
  <c r="AB21" i="2"/>
  <c r="AA21" i="2"/>
  <c r="Z21" i="2"/>
  <c r="Y21" i="2"/>
  <c r="X21" i="2"/>
  <c r="W21" i="2"/>
  <c r="V21" i="2"/>
  <c r="U21" i="2"/>
  <c r="T21" i="2"/>
  <c r="S21" i="2"/>
  <c r="R21" i="2"/>
  <c r="Q21" i="2"/>
  <c r="P21" i="2"/>
  <c r="O21" i="2"/>
  <c r="N21" i="2"/>
  <c r="M21" i="2"/>
  <c r="L21" i="2"/>
  <c r="K21" i="2"/>
  <c r="J21" i="2"/>
  <c r="I21" i="2"/>
  <c r="H21" i="2"/>
  <c r="G21" i="2"/>
  <c r="F21" i="2"/>
  <c r="E21" i="2"/>
  <c r="D21" i="2"/>
  <c r="C21" i="2"/>
  <c r="AG20" i="2"/>
  <c r="AF20" i="2"/>
  <c r="AE20" i="2"/>
  <c r="AD20" i="2"/>
  <c r="AC20" i="2"/>
  <c r="AB20" i="2"/>
  <c r="AA20" i="2"/>
  <c r="Z20" i="2"/>
  <c r="Y20" i="2"/>
  <c r="X20" i="2"/>
  <c r="W20" i="2"/>
  <c r="V20" i="2"/>
  <c r="U20" i="2"/>
  <c r="T20" i="2"/>
  <c r="S20" i="2"/>
  <c r="R20" i="2"/>
  <c r="Q20" i="2"/>
  <c r="P20" i="2"/>
  <c r="O20" i="2"/>
  <c r="N20" i="2"/>
  <c r="M20" i="2"/>
  <c r="L20" i="2"/>
  <c r="K20" i="2"/>
  <c r="J20" i="2"/>
  <c r="I20" i="2"/>
  <c r="H20" i="2"/>
  <c r="G20" i="2"/>
  <c r="F20" i="2"/>
  <c r="E20" i="2"/>
  <c r="D20" i="2"/>
  <c r="C20" i="2"/>
  <c r="AG19" i="2"/>
  <c r="AF19" i="2"/>
  <c r="AE19" i="2"/>
  <c r="AD19" i="2"/>
  <c r="AC19" i="2"/>
  <c r="AB19" i="2"/>
  <c r="AA19" i="2"/>
  <c r="Z19" i="2"/>
  <c r="Y19" i="2"/>
  <c r="X19" i="2"/>
  <c r="W19" i="2"/>
  <c r="V19" i="2"/>
  <c r="U19" i="2"/>
  <c r="T19" i="2"/>
  <c r="S19" i="2"/>
  <c r="R19" i="2"/>
  <c r="Q19" i="2"/>
  <c r="P19" i="2"/>
  <c r="O19" i="2"/>
  <c r="N19" i="2"/>
  <c r="M19" i="2"/>
  <c r="L19" i="2"/>
  <c r="K19" i="2"/>
  <c r="J19" i="2"/>
  <c r="I19" i="2"/>
  <c r="H19" i="2"/>
  <c r="G19" i="2"/>
  <c r="F19" i="2"/>
  <c r="E19" i="2"/>
  <c r="D19" i="2"/>
  <c r="C19" i="2"/>
  <c r="AG18" i="2"/>
  <c r="AF18" i="2"/>
  <c r="AE18" i="2"/>
  <c r="AD18" i="2"/>
  <c r="AC18" i="2"/>
  <c r="AB18" i="2"/>
  <c r="AA18" i="2"/>
  <c r="Z18" i="2"/>
  <c r="Y18" i="2"/>
  <c r="X18" i="2"/>
  <c r="W18" i="2"/>
  <c r="V18" i="2"/>
  <c r="U18" i="2"/>
  <c r="T18" i="2"/>
  <c r="S18" i="2"/>
  <c r="R18" i="2"/>
  <c r="Q18" i="2"/>
  <c r="P18" i="2"/>
  <c r="O18" i="2"/>
  <c r="N18" i="2"/>
  <c r="M18" i="2"/>
  <c r="L18" i="2"/>
  <c r="K18" i="2"/>
  <c r="J18" i="2"/>
  <c r="I18" i="2"/>
  <c r="H18" i="2"/>
  <c r="G18" i="2"/>
  <c r="F18" i="2"/>
  <c r="E18" i="2"/>
  <c r="D18" i="2"/>
  <c r="C18" i="2"/>
  <c r="AG17" i="2"/>
  <c r="AF17" i="2"/>
  <c r="AE17" i="2"/>
  <c r="AD17" i="2"/>
  <c r="AC17" i="2"/>
  <c r="AB17" i="2"/>
  <c r="AA17" i="2"/>
  <c r="Z17" i="2"/>
  <c r="Y17" i="2"/>
  <c r="X17" i="2"/>
  <c r="W17" i="2"/>
  <c r="V17" i="2"/>
  <c r="U17" i="2"/>
  <c r="T17" i="2"/>
  <c r="S17" i="2"/>
  <c r="R17" i="2"/>
  <c r="Q17" i="2"/>
  <c r="P17" i="2"/>
  <c r="O17" i="2"/>
  <c r="N17" i="2"/>
  <c r="M17" i="2"/>
  <c r="L17" i="2"/>
  <c r="K17" i="2"/>
  <c r="J17" i="2"/>
  <c r="I17" i="2"/>
  <c r="H17" i="2"/>
  <c r="G17" i="2"/>
  <c r="F17" i="2"/>
  <c r="E17" i="2"/>
  <c r="D17" i="2"/>
  <c r="C17" i="2"/>
  <c r="AG16" i="2"/>
  <c r="AF16" i="2"/>
  <c r="AE16" i="2"/>
  <c r="AD16" i="2"/>
  <c r="AC16" i="2"/>
  <c r="AB16" i="2"/>
  <c r="AA16" i="2"/>
  <c r="Z16" i="2"/>
  <c r="Y16" i="2"/>
  <c r="X16" i="2"/>
  <c r="W16" i="2"/>
  <c r="V16" i="2"/>
  <c r="U16" i="2"/>
  <c r="T16" i="2"/>
  <c r="S16" i="2"/>
  <c r="R16" i="2"/>
  <c r="Q16" i="2"/>
  <c r="P16" i="2"/>
  <c r="O16" i="2"/>
  <c r="N16" i="2"/>
  <c r="M16" i="2"/>
  <c r="L16" i="2"/>
  <c r="K16" i="2"/>
  <c r="J16" i="2"/>
  <c r="I16" i="2"/>
  <c r="H16" i="2"/>
  <c r="G16" i="2"/>
  <c r="F16" i="2"/>
  <c r="E16" i="2"/>
  <c r="D16" i="2"/>
  <c r="C16" i="2"/>
  <c r="AG15" i="2"/>
  <c r="AF15" i="2"/>
  <c r="AE15" i="2"/>
  <c r="AD15" i="2"/>
  <c r="AC15" i="2"/>
  <c r="AB15" i="2"/>
  <c r="AA15" i="2"/>
  <c r="Z15" i="2"/>
  <c r="Y15" i="2"/>
  <c r="X15" i="2"/>
  <c r="W15" i="2"/>
  <c r="V15" i="2"/>
  <c r="U15" i="2"/>
  <c r="T15" i="2"/>
  <c r="S15" i="2"/>
  <c r="R15" i="2"/>
  <c r="Q15" i="2"/>
  <c r="P15" i="2"/>
  <c r="O15" i="2"/>
  <c r="N15" i="2"/>
  <c r="M15" i="2"/>
  <c r="L15" i="2"/>
  <c r="K15" i="2"/>
  <c r="J15" i="2"/>
  <c r="I15" i="2"/>
  <c r="H15" i="2"/>
  <c r="G15" i="2"/>
  <c r="F15" i="2"/>
  <c r="E15" i="2"/>
  <c r="D15" i="2"/>
  <c r="C15" i="2"/>
  <c r="AG14" i="2"/>
  <c r="AF14" i="2"/>
  <c r="AE14" i="2"/>
  <c r="AD14" i="2"/>
  <c r="AC14" i="2"/>
  <c r="AB14" i="2"/>
  <c r="AA14" i="2"/>
  <c r="Z14" i="2"/>
  <c r="Y14" i="2"/>
  <c r="X14" i="2"/>
  <c r="W14" i="2"/>
  <c r="V14" i="2"/>
  <c r="U14" i="2"/>
  <c r="T14" i="2"/>
  <c r="S14" i="2"/>
  <c r="R14" i="2"/>
  <c r="Q14" i="2"/>
  <c r="P14" i="2"/>
  <c r="O14" i="2"/>
  <c r="N14" i="2"/>
  <c r="M14" i="2"/>
  <c r="L14" i="2"/>
  <c r="K14" i="2"/>
  <c r="J14" i="2"/>
  <c r="I14" i="2"/>
  <c r="H14" i="2"/>
  <c r="G14" i="2"/>
  <c r="F14" i="2"/>
  <c r="E14" i="2"/>
  <c r="D14" i="2"/>
  <c r="C14" i="2"/>
  <c r="AG13" i="2"/>
  <c r="AF13" i="2"/>
  <c r="AE13" i="2"/>
  <c r="AD13" i="2"/>
  <c r="AC13" i="2"/>
  <c r="AB13" i="2"/>
  <c r="AA13" i="2"/>
  <c r="Z13" i="2"/>
  <c r="Y13" i="2"/>
  <c r="X13" i="2"/>
  <c r="W13" i="2"/>
  <c r="V13" i="2"/>
  <c r="U13" i="2"/>
  <c r="T13" i="2"/>
  <c r="S13" i="2"/>
  <c r="R13" i="2"/>
  <c r="Q13" i="2"/>
  <c r="P13" i="2"/>
  <c r="O13" i="2"/>
  <c r="N13" i="2"/>
  <c r="M13" i="2"/>
  <c r="L13" i="2"/>
  <c r="K13" i="2"/>
  <c r="J13" i="2"/>
  <c r="I13" i="2"/>
  <c r="H13" i="2"/>
  <c r="G13" i="2"/>
  <c r="F13" i="2"/>
  <c r="E13" i="2"/>
  <c r="D13" i="2"/>
  <c r="C13" i="2"/>
  <c r="AG12" i="2"/>
  <c r="AF12" i="2"/>
  <c r="AE12" i="2"/>
  <c r="AD12" i="2"/>
  <c r="AC12" i="2"/>
  <c r="AB12" i="2"/>
  <c r="AA12" i="2"/>
  <c r="Z12" i="2"/>
  <c r="Y12" i="2"/>
  <c r="X12" i="2"/>
  <c r="W12" i="2"/>
  <c r="V12" i="2"/>
  <c r="U12" i="2"/>
  <c r="T12" i="2"/>
  <c r="S12" i="2"/>
  <c r="R12" i="2"/>
  <c r="Q12" i="2"/>
  <c r="P12" i="2"/>
  <c r="O12" i="2"/>
  <c r="N12" i="2"/>
  <c r="M12" i="2"/>
  <c r="L12" i="2"/>
  <c r="K12" i="2"/>
  <c r="J12" i="2"/>
  <c r="I12" i="2"/>
  <c r="H12" i="2"/>
  <c r="G12" i="2"/>
  <c r="F12" i="2"/>
  <c r="E12" i="2"/>
  <c r="D12" i="2"/>
  <c r="C12" i="2"/>
  <c r="AG11" i="2"/>
  <c r="AF11" i="2"/>
  <c r="AE11" i="2"/>
  <c r="AD11" i="2"/>
  <c r="AC11" i="2"/>
  <c r="AB11" i="2"/>
  <c r="AA11" i="2"/>
  <c r="Z11" i="2"/>
  <c r="Y11" i="2"/>
  <c r="X11" i="2"/>
  <c r="W11" i="2"/>
  <c r="V11" i="2"/>
  <c r="U11" i="2"/>
  <c r="T11" i="2"/>
  <c r="S11" i="2"/>
  <c r="R11" i="2"/>
  <c r="Q11" i="2"/>
  <c r="P11" i="2"/>
  <c r="O11" i="2"/>
  <c r="N11" i="2"/>
  <c r="M11" i="2"/>
  <c r="L11" i="2"/>
  <c r="K11" i="2"/>
  <c r="J11" i="2"/>
  <c r="I11" i="2"/>
  <c r="H11" i="2"/>
  <c r="G11" i="2"/>
  <c r="F11" i="2"/>
  <c r="E11" i="2"/>
  <c r="D11" i="2"/>
  <c r="C11" i="2"/>
  <c r="AG10" i="2"/>
  <c r="AF10" i="2"/>
  <c r="AE10" i="2"/>
  <c r="AD10" i="2"/>
  <c r="AC10" i="2"/>
  <c r="AB10" i="2"/>
  <c r="AA10" i="2"/>
  <c r="Z10" i="2"/>
  <c r="Y10" i="2"/>
  <c r="X10" i="2"/>
  <c r="W10" i="2"/>
  <c r="V10" i="2"/>
  <c r="U10" i="2"/>
  <c r="T10" i="2"/>
  <c r="S10" i="2"/>
  <c r="R10" i="2"/>
  <c r="Q10" i="2"/>
  <c r="P10" i="2"/>
  <c r="O10" i="2"/>
  <c r="N10" i="2"/>
  <c r="M10" i="2"/>
  <c r="L10" i="2"/>
  <c r="K10" i="2"/>
  <c r="J10" i="2"/>
  <c r="I10" i="2"/>
  <c r="H10" i="2"/>
  <c r="G10" i="2"/>
  <c r="F10" i="2"/>
  <c r="E10" i="2"/>
  <c r="D10" i="2"/>
  <c r="C10" i="2"/>
  <c r="AG9" i="2"/>
  <c r="AF9" i="2"/>
  <c r="AE9" i="2"/>
  <c r="AD9" i="2"/>
  <c r="AC9" i="2"/>
  <c r="AB9" i="2"/>
  <c r="AA9" i="2"/>
  <c r="Z9" i="2"/>
  <c r="Y9" i="2"/>
  <c r="X9" i="2"/>
  <c r="W9" i="2"/>
  <c r="V9" i="2"/>
  <c r="U9" i="2"/>
  <c r="T9" i="2"/>
  <c r="S9" i="2"/>
  <c r="R9" i="2"/>
  <c r="Q9" i="2"/>
  <c r="P9" i="2"/>
  <c r="O9" i="2"/>
  <c r="N9" i="2"/>
  <c r="M9" i="2"/>
  <c r="L9" i="2"/>
  <c r="K9" i="2"/>
  <c r="J9" i="2"/>
  <c r="I9" i="2"/>
  <c r="H9" i="2"/>
  <c r="G9" i="2"/>
  <c r="F9" i="2"/>
  <c r="E9" i="2"/>
  <c r="D9" i="2"/>
  <c r="C9" i="2"/>
  <c r="AG8" i="2"/>
  <c r="AF8" i="2"/>
  <c r="AE8" i="2"/>
  <c r="AD8" i="2"/>
  <c r="AC8" i="2"/>
  <c r="AB8" i="2"/>
  <c r="AA8" i="2"/>
  <c r="Z8" i="2"/>
  <c r="Y8" i="2"/>
  <c r="X8" i="2"/>
  <c r="W8" i="2"/>
  <c r="V8" i="2"/>
  <c r="U8" i="2"/>
  <c r="T8" i="2"/>
  <c r="S8" i="2"/>
  <c r="R8" i="2"/>
  <c r="Q8" i="2"/>
  <c r="P8" i="2"/>
  <c r="O8" i="2"/>
  <c r="N8" i="2"/>
  <c r="M8" i="2"/>
  <c r="L8" i="2"/>
  <c r="K8" i="2"/>
  <c r="J8" i="2"/>
  <c r="I8" i="2"/>
  <c r="H8" i="2"/>
  <c r="G8" i="2"/>
  <c r="F8" i="2"/>
  <c r="E8" i="2"/>
  <c r="D8" i="2"/>
  <c r="C8" i="2"/>
  <c r="AG7" i="2"/>
  <c r="AF7" i="2"/>
  <c r="AE7" i="2"/>
  <c r="AD7" i="2"/>
  <c r="AC7" i="2"/>
  <c r="AB7" i="2"/>
  <c r="AA7" i="2"/>
  <c r="Z7" i="2"/>
  <c r="Y7" i="2"/>
  <c r="X7" i="2"/>
  <c r="W7" i="2"/>
  <c r="V7" i="2"/>
  <c r="U7" i="2"/>
  <c r="T7" i="2"/>
  <c r="S7" i="2"/>
  <c r="R7" i="2"/>
  <c r="Q7" i="2"/>
  <c r="P7" i="2"/>
  <c r="O7" i="2"/>
  <c r="N7" i="2"/>
  <c r="M7" i="2"/>
  <c r="L7" i="2"/>
  <c r="K7" i="2"/>
  <c r="J7" i="2"/>
  <c r="I7" i="2"/>
  <c r="H7" i="2"/>
  <c r="G7" i="2"/>
  <c r="F7" i="2"/>
  <c r="E7" i="2"/>
  <c r="D7" i="2"/>
  <c r="C7" i="2"/>
  <c r="AG6" i="2"/>
  <c r="AF6" i="2"/>
  <c r="AE6" i="2"/>
  <c r="AD6" i="2"/>
  <c r="AC6" i="2"/>
  <c r="AB6" i="2"/>
  <c r="AA6" i="2"/>
  <c r="Z6" i="2"/>
  <c r="Y6" i="2"/>
  <c r="X6" i="2"/>
  <c r="W6" i="2"/>
  <c r="V6" i="2"/>
  <c r="U6" i="2"/>
  <c r="T6" i="2"/>
  <c r="S6" i="2"/>
  <c r="R6" i="2"/>
  <c r="Q6" i="2"/>
  <c r="P6" i="2"/>
  <c r="O6" i="2"/>
  <c r="N6" i="2"/>
  <c r="M6" i="2"/>
  <c r="L6" i="2"/>
  <c r="K6" i="2"/>
  <c r="J6" i="2"/>
  <c r="I6" i="2"/>
  <c r="H6" i="2"/>
  <c r="G6" i="2"/>
  <c r="F6" i="2"/>
  <c r="E6" i="2"/>
  <c r="D6" i="2"/>
  <c r="C6" i="2"/>
  <c r="AG5" i="2"/>
  <c r="AF5" i="2"/>
  <c r="AE5" i="2"/>
  <c r="AD5" i="2"/>
  <c r="AC5" i="2"/>
  <c r="AB5" i="2"/>
  <c r="AA5" i="2"/>
  <c r="Z5" i="2"/>
  <c r="Y5" i="2"/>
  <c r="X5" i="2"/>
  <c r="W5" i="2"/>
  <c r="V5" i="2"/>
  <c r="U5" i="2"/>
  <c r="T5" i="2"/>
  <c r="S5" i="2"/>
  <c r="R5" i="2"/>
  <c r="Q5" i="2"/>
  <c r="P5" i="2"/>
  <c r="O5" i="2"/>
  <c r="N5" i="2"/>
  <c r="M5" i="2"/>
  <c r="L5" i="2"/>
  <c r="K5" i="2"/>
  <c r="J5" i="2"/>
  <c r="I5" i="2"/>
  <c r="H5" i="2"/>
  <c r="G5" i="2"/>
  <c r="F5" i="2"/>
  <c r="E5" i="2"/>
  <c r="D5" i="2"/>
  <c r="C5" i="2"/>
  <c r="AG4" i="2"/>
  <c r="AF4" i="2"/>
  <c r="AE4" i="2"/>
  <c r="AD4" i="2"/>
  <c r="AC4" i="2"/>
  <c r="AB4" i="2"/>
  <c r="AA4" i="2"/>
  <c r="Z4" i="2"/>
  <c r="Y4" i="2"/>
  <c r="X4" i="2"/>
  <c r="W4" i="2"/>
  <c r="V4" i="2"/>
  <c r="U4" i="2"/>
  <c r="T4" i="2"/>
  <c r="S4" i="2"/>
  <c r="R4" i="2"/>
  <c r="Q4" i="2"/>
  <c r="P4" i="2"/>
  <c r="O4" i="2"/>
  <c r="N4" i="2"/>
  <c r="M4" i="2"/>
  <c r="L4" i="2"/>
  <c r="K4" i="2"/>
  <c r="J4" i="2"/>
  <c r="I4" i="2"/>
  <c r="H4" i="2"/>
  <c r="G4" i="2"/>
  <c r="F4" i="2"/>
  <c r="E4" i="2"/>
  <c r="D4" i="2"/>
  <c r="C4" i="2"/>
  <c r="AG3" i="2"/>
  <c r="AF3" i="2"/>
  <c r="AE3" i="2"/>
  <c r="AD3" i="2"/>
  <c r="AC3" i="2"/>
  <c r="AB3" i="2"/>
  <c r="AA3" i="2"/>
  <c r="Z3" i="2"/>
  <c r="Y3" i="2"/>
  <c r="X3" i="2"/>
  <c r="W3" i="2"/>
  <c r="V3" i="2"/>
  <c r="U3" i="2"/>
  <c r="T3" i="2"/>
  <c r="S3" i="2"/>
  <c r="R3" i="2"/>
  <c r="Q3" i="2"/>
  <c r="P3" i="2"/>
  <c r="O3" i="2"/>
  <c r="N3" i="2"/>
  <c r="M3" i="2"/>
  <c r="L3" i="2"/>
  <c r="K3" i="2"/>
  <c r="J3" i="2"/>
  <c r="I3" i="2"/>
  <c r="H3" i="2"/>
  <c r="G3" i="2"/>
  <c r="F3" i="2"/>
  <c r="E3" i="2"/>
  <c r="D3" i="2"/>
  <c r="C3" i="2"/>
  <c r="B53" i="2"/>
  <c r="B52" i="2"/>
  <c r="B51" i="2"/>
  <c r="B50" i="2"/>
  <c r="B49" i="2"/>
  <c r="B48" i="2"/>
  <c r="B47" i="2"/>
  <c r="B46" i="2"/>
  <c r="B45" i="2"/>
  <c r="B44" i="2"/>
  <c r="B43" i="2"/>
  <c r="B42" i="2"/>
  <c r="B41" i="2"/>
  <c r="B40" i="2"/>
  <c r="B39" i="2"/>
  <c r="B38" i="2"/>
  <c r="B37" i="2"/>
  <c r="B36" i="2"/>
  <c r="B35" i="2"/>
  <c r="B34" i="2"/>
  <c r="B33" i="2"/>
  <c r="B32" i="2"/>
  <c r="B31" i="2"/>
  <c r="B30" i="2"/>
  <c r="B29" i="2"/>
  <c r="B28" i="2"/>
  <c r="B27" i="2"/>
  <c r="B26" i="2"/>
  <c r="B25" i="2"/>
  <c r="B24" i="2"/>
  <c r="B23" i="2"/>
  <c r="B22" i="2"/>
  <c r="B21" i="2"/>
  <c r="B20" i="2"/>
  <c r="B19" i="2"/>
  <c r="B18" i="2"/>
  <c r="B17" i="2"/>
  <c r="B16" i="2"/>
  <c r="B15" i="2"/>
  <c r="B14" i="2"/>
  <c r="B13" i="2"/>
  <c r="B12" i="2"/>
  <c r="B11" i="2"/>
  <c r="B10" i="2"/>
  <c r="B9" i="2"/>
  <c r="B8" i="2"/>
  <c r="B7" i="2"/>
  <c r="B6" i="2"/>
  <c r="B5" i="2"/>
  <c r="B4" i="2"/>
  <c r="B3" i="2"/>
  <c r="AH63" i="2" l="1"/>
  <c r="AH102" i="2"/>
  <c r="AH88" i="2"/>
  <c r="AH79" i="2"/>
  <c r="AH72" i="2"/>
  <c r="AH59" i="2"/>
  <c r="AH103" i="2"/>
  <c r="AH94" i="2"/>
  <c r="AH87" i="2"/>
  <c r="AH76" i="2"/>
  <c r="AH71" i="2"/>
  <c r="AH62" i="2"/>
  <c r="AH101" i="2"/>
  <c r="AH93" i="2"/>
  <c r="AH90" i="2"/>
  <c r="AH77" i="2"/>
  <c r="AH83" i="2"/>
  <c r="AH98" i="2"/>
  <c r="AH84" i="2"/>
  <c r="AH74" i="2"/>
  <c r="AH66" i="2"/>
  <c r="AH61" i="2"/>
  <c r="AH60" i="2"/>
  <c r="AH70" i="2"/>
  <c r="AH58" i="2"/>
  <c r="AH55" i="2"/>
  <c r="J74" i="2"/>
  <c r="R79" i="2"/>
  <c r="Z87" i="2"/>
  <c r="C103" i="2"/>
  <c r="C95" i="2"/>
  <c r="C104" i="2"/>
  <c r="C105" i="2"/>
  <c r="C97" i="2"/>
  <c r="C106" i="2"/>
  <c r="C98" i="2"/>
  <c r="C90" i="2"/>
  <c r="C107" i="2"/>
  <c r="C99" i="2"/>
  <c r="C91" i="2"/>
  <c r="C100" i="2"/>
  <c r="C92" i="2"/>
  <c r="C96" i="2"/>
  <c r="C86" i="2"/>
  <c r="C88" i="2"/>
  <c r="C87" i="2"/>
  <c r="C79" i="2"/>
  <c r="C93" i="2"/>
  <c r="C89" i="2"/>
  <c r="C80" i="2"/>
  <c r="C81" i="2"/>
  <c r="C82" i="2"/>
  <c r="C101" i="2"/>
  <c r="C83" i="2"/>
  <c r="C75" i="2"/>
  <c r="C102" i="2"/>
  <c r="C84" i="2"/>
  <c r="C76" i="2"/>
  <c r="C71" i="2"/>
  <c r="C63" i="2"/>
  <c r="C64" i="2"/>
  <c r="C55" i="2"/>
  <c r="C65" i="2"/>
  <c r="C57" i="2"/>
  <c r="C78" i="2"/>
  <c r="C73" i="2"/>
  <c r="C66" i="2"/>
  <c r="C58" i="2"/>
  <c r="C85" i="2"/>
  <c r="C72" i="2"/>
  <c r="C67" i="2"/>
  <c r="C59" i="2"/>
  <c r="C68" i="2"/>
  <c r="C60" i="2"/>
  <c r="C94" i="2"/>
  <c r="C77" i="2"/>
  <c r="C74" i="2"/>
  <c r="C69" i="2"/>
  <c r="C61" i="2"/>
  <c r="C70" i="2"/>
  <c r="C62" i="2"/>
  <c r="K103" i="2"/>
  <c r="K95" i="2"/>
  <c r="K87" i="2"/>
  <c r="K104" i="2"/>
  <c r="K105" i="2"/>
  <c r="K97" i="2"/>
  <c r="K106" i="2"/>
  <c r="K98" i="2"/>
  <c r="K90" i="2"/>
  <c r="K107" i="2"/>
  <c r="K99" i="2"/>
  <c r="K91" i="2"/>
  <c r="K100" i="2"/>
  <c r="K92" i="2"/>
  <c r="K86" i="2"/>
  <c r="K79" i="2"/>
  <c r="K71" i="2"/>
  <c r="K80" i="2"/>
  <c r="K101" i="2"/>
  <c r="K88" i="2"/>
  <c r="K81" i="2"/>
  <c r="K102" i="2"/>
  <c r="K94" i="2"/>
  <c r="K89" i="2"/>
  <c r="K82" i="2"/>
  <c r="K96" i="2"/>
  <c r="K83" i="2"/>
  <c r="K75" i="2"/>
  <c r="K84" i="2"/>
  <c r="K76" i="2"/>
  <c r="K78" i="2"/>
  <c r="K63" i="2"/>
  <c r="K74" i="2"/>
  <c r="K64" i="2"/>
  <c r="K55" i="2"/>
  <c r="K65" i="2"/>
  <c r="K57" i="2"/>
  <c r="K85" i="2"/>
  <c r="K77" i="2"/>
  <c r="K66" i="2"/>
  <c r="K58" i="2"/>
  <c r="K67" i="2"/>
  <c r="K59" i="2"/>
  <c r="K73" i="2"/>
  <c r="K72" i="2"/>
  <c r="K68" i="2"/>
  <c r="K60" i="2"/>
  <c r="K69" i="2"/>
  <c r="K61" i="2"/>
  <c r="K93" i="2"/>
  <c r="K70" i="2"/>
  <c r="K62" i="2"/>
  <c r="S64" i="2"/>
  <c r="AA85" i="2"/>
  <c r="E105" i="2"/>
  <c r="E97" i="2"/>
  <c r="E89" i="2"/>
  <c r="E106" i="2"/>
  <c r="E98" i="2"/>
  <c r="E107" i="2"/>
  <c r="E99" i="2"/>
  <c r="E91" i="2"/>
  <c r="E100" i="2"/>
  <c r="E92" i="2"/>
  <c r="E101" i="2"/>
  <c r="E93" i="2"/>
  <c r="E102" i="2"/>
  <c r="E94" i="2"/>
  <c r="E88" i="2"/>
  <c r="E80" i="2"/>
  <c r="E81" i="2"/>
  <c r="E73" i="2"/>
  <c r="E95" i="2"/>
  <c r="E82" i="2"/>
  <c r="E83" i="2"/>
  <c r="E75" i="2"/>
  <c r="E84" i="2"/>
  <c r="E76" i="2"/>
  <c r="E103" i="2"/>
  <c r="E90" i="2"/>
  <c r="E85" i="2"/>
  <c r="E77" i="2"/>
  <c r="E104" i="2"/>
  <c r="E86" i="2"/>
  <c r="E78" i="2"/>
  <c r="E65" i="2"/>
  <c r="E57" i="2"/>
  <c r="E66" i="2"/>
  <c r="E58" i="2"/>
  <c r="E67" i="2"/>
  <c r="E59" i="2"/>
  <c r="E96" i="2"/>
  <c r="E72" i="2"/>
  <c r="E68" i="2"/>
  <c r="E60" i="2"/>
  <c r="E87" i="2"/>
  <c r="E69" i="2"/>
  <c r="E61" i="2"/>
  <c r="E74" i="2"/>
  <c r="E70" i="2"/>
  <c r="E62" i="2"/>
  <c r="E79" i="2"/>
  <c r="E71" i="2"/>
  <c r="E63" i="2"/>
  <c r="E64" i="2"/>
  <c r="E55" i="2"/>
  <c r="M71" i="2"/>
  <c r="U64" i="2"/>
  <c r="AC72" i="2"/>
  <c r="F106" i="2"/>
  <c r="F98" i="2"/>
  <c r="F90" i="2"/>
  <c r="F107" i="2"/>
  <c r="F99" i="2"/>
  <c r="F100" i="2"/>
  <c r="F92" i="2"/>
  <c r="F101" i="2"/>
  <c r="F93" i="2"/>
  <c r="F102" i="2"/>
  <c r="F94" i="2"/>
  <c r="F103" i="2"/>
  <c r="F95" i="2"/>
  <c r="F89" i="2"/>
  <c r="F81" i="2"/>
  <c r="F91" i="2"/>
  <c r="F82" i="2"/>
  <c r="F74" i="2"/>
  <c r="F83" i="2"/>
  <c r="F84" i="2"/>
  <c r="F76" i="2"/>
  <c r="F97" i="2"/>
  <c r="F85" i="2"/>
  <c r="F77" i="2"/>
  <c r="F104" i="2"/>
  <c r="F86" i="2"/>
  <c r="F78" i="2"/>
  <c r="F105" i="2"/>
  <c r="F96" i="2"/>
  <c r="F87" i="2"/>
  <c r="F79" i="2"/>
  <c r="F66" i="2"/>
  <c r="F58" i="2"/>
  <c r="F88" i="2"/>
  <c r="F73" i="2"/>
  <c r="F67" i="2"/>
  <c r="F59" i="2"/>
  <c r="F72" i="2"/>
  <c r="F68" i="2"/>
  <c r="F60" i="2"/>
  <c r="F69" i="2"/>
  <c r="F61" i="2"/>
  <c r="F70" i="2"/>
  <c r="F62" i="2"/>
  <c r="F75" i="2"/>
  <c r="F71" i="2"/>
  <c r="F63" i="2"/>
  <c r="F64" i="2"/>
  <c r="F55" i="2"/>
  <c r="F80" i="2"/>
  <c r="F65" i="2"/>
  <c r="F57" i="2"/>
  <c r="N80" i="2"/>
  <c r="V73" i="2"/>
  <c r="AD72" i="2"/>
  <c r="G107" i="2"/>
  <c r="G99" i="2"/>
  <c r="G91" i="2"/>
  <c r="G100" i="2"/>
  <c r="G101" i="2"/>
  <c r="G93" i="2"/>
  <c r="G102" i="2"/>
  <c r="G94" i="2"/>
  <c r="G103" i="2"/>
  <c r="G95" i="2"/>
  <c r="G104" i="2"/>
  <c r="G96" i="2"/>
  <c r="G82" i="2"/>
  <c r="G83" i="2"/>
  <c r="G75" i="2"/>
  <c r="G84" i="2"/>
  <c r="G97" i="2"/>
  <c r="G85" i="2"/>
  <c r="G77" i="2"/>
  <c r="G98" i="2"/>
  <c r="G90" i="2"/>
  <c r="G86" i="2"/>
  <c r="G78" i="2"/>
  <c r="G105" i="2"/>
  <c r="G92" i="2"/>
  <c r="G87" i="2"/>
  <c r="G79" i="2"/>
  <c r="G106" i="2"/>
  <c r="G88" i="2"/>
  <c r="G80" i="2"/>
  <c r="G73" i="2"/>
  <c r="G67" i="2"/>
  <c r="G59" i="2"/>
  <c r="G76" i="2"/>
  <c r="G72" i="2"/>
  <c r="G68" i="2"/>
  <c r="G60" i="2"/>
  <c r="G69" i="2"/>
  <c r="G61" i="2"/>
  <c r="G81" i="2"/>
  <c r="G70" i="2"/>
  <c r="G62" i="2"/>
  <c r="G74" i="2"/>
  <c r="G71" i="2"/>
  <c r="G63" i="2"/>
  <c r="G64" i="2"/>
  <c r="G55" i="2"/>
  <c r="G89" i="2"/>
  <c r="G65" i="2"/>
  <c r="G57" i="2"/>
  <c r="G66" i="2"/>
  <c r="G58" i="2"/>
  <c r="O71" i="2"/>
  <c r="W73" i="2"/>
  <c r="AE64" i="2"/>
  <c r="H107" i="2"/>
  <c r="H100" i="2"/>
  <c r="H92" i="2"/>
  <c r="H101" i="2"/>
  <c r="H102" i="2"/>
  <c r="H94" i="2"/>
  <c r="H103" i="2"/>
  <c r="H95" i="2"/>
  <c r="H87" i="2"/>
  <c r="H104" i="2"/>
  <c r="H96" i="2"/>
  <c r="H105" i="2"/>
  <c r="H97" i="2"/>
  <c r="H91" i="2"/>
  <c r="H83" i="2"/>
  <c r="H93" i="2"/>
  <c r="H84" i="2"/>
  <c r="H76" i="2"/>
  <c r="H85" i="2"/>
  <c r="H98" i="2"/>
  <c r="H90" i="2"/>
  <c r="H86" i="2"/>
  <c r="H78" i="2"/>
  <c r="H99" i="2"/>
  <c r="H79" i="2"/>
  <c r="H106" i="2"/>
  <c r="H88" i="2"/>
  <c r="H80" i="2"/>
  <c r="H89" i="2"/>
  <c r="H81" i="2"/>
  <c r="H73" i="2"/>
  <c r="H72" i="2"/>
  <c r="H68" i="2"/>
  <c r="H60" i="2"/>
  <c r="H69" i="2"/>
  <c r="H61" i="2"/>
  <c r="H70" i="2"/>
  <c r="H62" i="2"/>
  <c r="H74" i="2"/>
  <c r="H71" i="2"/>
  <c r="H63" i="2"/>
  <c r="H75" i="2"/>
  <c r="H64" i="2"/>
  <c r="H55" i="2"/>
  <c r="H77" i="2"/>
  <c r="H65" i="2"/>
  <c r="H57" i="2"/>
  <c r="H66" i="2"/>
  <c r="H58" i="2"/>
  <c r="H82" i="2"/>
  <c r="H67" i="2"/>
  <c r="H59" i="2"/>
  <c r="P71" i="2"/>
  <c r="X64" i="2"/>
  <c r="AF82" i="2"/>
  <c r="D104" i="2"/>
  <c r="D96" i="2"/>
  <c r="D88" i="2"/>
  <c r="D105" i="2"/>
  <c r="D97" i="2"/>
  <c r="D106" i="2"/>
  <c r="D98" i="2"/>
  <c r="D90" i="2"/>
  <c r="D107" i="2"/>
  <c r="D99" i="2"/>
  <c r="D91" i="2"/>
  <c r="D100" i="2"/>
  <c r="D92" i="2"/>
  <c r="D101" i="2"/>
  <c r="D93" i="2"/>
  <c r="D87" i="2"/>
  <c r="D89" i="2"/>
  <c r="D80" i="2"/>
  <c r="D72" i="2"/>
  <c r="D81" i="2"/>
  <c r="D95" i="2"/>
  <c r="D82" i="2"/>
  <c r="D74" i="2"/>
  <c r="D83" i="2"/>
  <c r="D75" i="2"/>
  <c r="D102" i="2"/>
  <c r="D84" i="2"/>
  <c r="D76" i="2"/>
  <c r="D103" i="2"/>
  <c r="D94" i="2"/>
  <c r="D85" i="2"/>
  <c r="D77" i="2"/>
  <c r="D86" i="2"/>
  <c r="D64" i="2"/>
  <c r="D55" i="2"/>
  <c r="D65" i="2"/>
  <c r="D57" i="2"/>
  <c r="D78" i="2"/>
  <c r="D73" i="2"/>
  <c r="D66" i="2"/>
  <c r="D58" i="2"/>
  <c r="D67" i="2"/>
  <c r="D59" i="2"/>
  <c r="D68" i="2"/>
  <c r="D60" i="2"/>
  <c r="D69" i="2"/>
  <c r="D61" i="2"/>
  <c r="D70" i="2"/>
  <c r="D62" i="2"/>
  <c r="D79" i="2"/>
  <c r="D71" i="2"/>
  <c r="D63" i="2"/>
  <c r="I101" i="2"/>
  <c r="I93" i="2"/>
  <c r="I102" i="2"/>
  <c r="I103" i="2"/>
  <c r="I95" i="2"/>
  <c r="I104" i="2"/>
  <c r="I96" i="2"/>
  <c r="I88" i="2"/>
  <c r="I105" i="2"/>
  <c r="I97" i="2"/>
  <c r="I106" i="2"/>
  <c r="I98" i="2"/>
  <c r="I90" i="2"/>
  <c r="I84" i="2"/>
  <c r="I85" i="2"/>
  <c r="I77" i="2"/>
  <c r="I86" i="2"/>
  <c r="I99" i="2"/>
  <c r="I79" i="2"/>
  <c r="I100" i="2"/>
  <c r="I92" i="2"/>
  <c r="I87" i="2"/>
  <c r="I80" i="2"/>
  <c r="I94" i="2"/>
  <c r="I89" i="2"/>
  <c r="I81" i="2"/>
  <c r="I107" i="2"/>
  <c r="I82" i="2"/>
  <c r="I74" i="2"/>
  <c r="I76" i="2"/>
  <c r="I69" i="2"/>
  <c r="I61" i="2"/>
  <c r="I78" i="2"/>
  <c r="I70" i="2"/>
  <c r="I62" i="2"/>
  <c r="I91" i="2"/>
  <c r="I71" i="2"/>
  <c r="I63" i="2"/>
  <c r="I83" i="2"/>
  <c r="I75" i="2"/>
  <c r="I64" i="2"/>
  <c r="I55" i="2"/>
  <c r="I65" i="2"/>
  <c r="I57" i="2"/>
  <c r="I66" i="2"/>
  <c r="I58" i="2"/>
  <c r="I67" i="2"/>
  <c r="I59" i="2"/>
  <c r="I73" i="2"/>
  <c r="I72" i="2"/>
  <c r="I68" i="2"/>
  <c r="I60" i="2"/>
  <c r="Q71" i="2"/>
  <c r="Y78" i="2"/>
  <c r="AG64" i="2"/>
  <c r="L104" i="2"/>
  <c r="L96" i="2"/>
  <c r="L88" i="2"/>
  <c r="L105" i="2"/>
  <c r="L97" i="2"/>
  <c r="L106" i="2"/>
  <c r="L98" i="2"/>
  <c r="L90" i="2"/>
  <c r="L107" i="2"/>
  <c r="L99" i="2"/>
  <c r="L91" i="2"/>
  <c r="L100" i="2"/>
  <c r="L92" i="2"/>
  <c r="L101" i="2"/>
  <c r="L93" i="2"/>
  <c r="L95" i="2"/>
  <c r="L80" i="2"/>
  <c r="L72" i="2"/>
  <c r="L87" i="2"/>
  <c r="L81" i="2"/>
  <c r="L102" i="2"/>
  <c r="L94" i="2"/>
  <c r="L89" i="2"/>
  <c r="L82" i="2"/>
  <c r="L74" i="2"/>
  <c r="L103" i="2"/>
  <c r="L83" i="2"/>
  <c r="L75" i="2"/>
  <c r="L84" i="2"/>
  <c r="L76" i="2"/>
  <c r="L85" i="2"/>
  <c r="L77" i="2"/>
  <c r="T104" i="2"/>
  <c r="T96" i="2"/>
  <c r="T88" i="2"/>
  <c r="T105" i="2"/>
  <c r="T97" i="2"/>
  <c r="T106" i="2"/>
  <c r="T98" i="2"/>
  <c r="T90" i="2"/>
  <c r="T107" i="2"/>
  <c r="T99" i="2"/>
  <c r="T91" i="2"/>
  <c r="T100" i="2"/>
  <c r="T92" i="2"/>
  <c r="T101" i="2"/>
  <c r="T93" i="2"/>
  <c r="T94" i="2"/>
  <c r="T79" i="2"/>
  <c r="T102" i="2"/>
  <c r="T80" i="2"/>
  <c r="T72" i="2"/>
  <c r="T103" i="2"/>
  <c r="T81" i="2"/>
  <c r="T82" i="2"/>
  <c r="T74" i="2"/>
  <c r="T87" i="2"/>
  <c r="T83" i="2"/>
  <c r="T75" i="2"/>
  <c r="T95" i="2"/>
  <c r="T89" i="2"/>
  <c r="T84" i="2"/>
  <c r="T76" i="2"/>
  <c r="T85" i="2"/>
  <c r="T77" i="2"/>
  <c r="AB104" i="2"/>
  <c r="AB96" i="2"/>
  <c r="AB88" i="2"/>
  <c r="AB105" i="2"/>
  <c r="AB97" i="2"/>
  <c r="AB106" i="2"/>
  <c r="AB98" i="2"/>
  <c r="AB90" i="2"/>
  <c r="AB107" i="2"/>
  <c r="AB99" i="2"/>
  <c r="AB91" i="2"/>
  <c r="AB100" i="2"/>
  <c r="AB92" i="2"/>
  <c r="AB101" i="2"/>
  <c r="AB93" i="2"/>
  <c r="AB103" i="2"/>
  <c r="AB89" i="2"/>
  <c r="AB79" i="2"/>
  <c r="AB80" i="2"/>
  <c r="AB72" i="2"/>
  <c r="AB95" i="2"/>
  <c r="AB81" i="2"/>
  <c r="AB82" i="2"/>
  <c r="AB74" i="2"/>
  <c r="AB83" i="2"/>
  <c r="AB75" i="2"/>
  <c r="AB94" i="2"/>
  <c r="AB84" i="2"/>
  <c r="AB76" i="2"/>
  <c r="AB87" i="2"/>
  <c r="AB85" i="2"/>
  <c r="AB77" i="2"/>
  <c r="M55" i="2"/>
  <c r="U55" i="2"/>
  <c r="AC55" i="2"/>
  <c r="N57" i="2"/>
  <c r="V57" i="2"/>
  <c r="AD57" i="2"/>
  <c r="O58" i="2"/>
  <c r="W58" i="2"/>
  <c r="AE58" i="2"/>
  <c r="P59" i="2"/>
  <c r="X59" i="2"/>
  <c r="AF59" i="2"/>
  <c r="Q60" i="2"/>
  <c r="Y60" i="2"/>
  <c r="AG60" i="2"/>
  <c r="J61" i="2"/>
  <c r="R61" i="2"/>
  <c r="Z61" i="2"/>
  <c r="S62" i="2"/>
  <c r="AA62" i="2"/>
  <c r="L63" i="2"/>
  <c r="T63" i="2"/>
  <c r="AB63" i="2"/>
  <c r="M64" i="2"/>
  <c r="AC64" i="2"/>
  <c r="N65" i="2"/>
  <c r="V65" i="2"/>
  <c r="AD65" i="2"/>
  <c r="O66" i="2"/>
  <c r="W66" i="2"/>
  <c r="AE66" i="2"/>
  <c r="P67" i="2"/>
  <c r="X67" i="2"/>
  <c r="AF67" i="2"/>
  <c r="Q68" i="2"/>
  <c r="Y68" i="2"/>
  <c r="AG68" i="2"/>
  <c r="J69" i="2"/>
  <c r="R69" i="2"/>
  <c r="Z69" i="2"/>
  <c r="S70" i="2"/>
  <c r="AA70" i="2"/>
  <c r="V71" i="2"/>
  <c r="AE71" i="2"/>
  <c r="R72" i="2"/>
  <c r="T73" i="2"/>
  <c r="AG73" i="2"/>
  <c r="O74" i="2"/>
  <c r="AE74" i="2"/>
  <c r="V75" i="2"/>
  <c r="J76" i="2"/>
  <c r="AG76" i="2"/>
  <c r="X77" i="2"/>
  <c r="L78" i="2"/>
  <c r="J84" i="2"/>
  <c r="L86" i="2"/>
  <c r="AA88" i="2"/>
  <c r="Y99" i="2"/>
  <c r="M105" i="2"/>
  <c r="M97" i="2"/>
  <c r="M89" i="2"/>
  <c r="M106" i="2"/>
  <c r="M98" i="2"/>
  <c r="M107" i="2"/>
  <c r="M99" i="2"/>
  <c r="M91" i="2"/>
  <c r="M100" i="2"/>
  <c r="M92" i="2"/>
  <c r="M101" i="2"/>
  <c r="M93" i="2"/>
  <c r="M102" i="2"/>
  <c r="M94" i="2"/>
  <c r="M80" i="2"/>
  <c r="M87" i="2"/>
  <c r="M81" i="2"/>
  <c r="M73" i="2"/>
  <c r="M90" i="2"/>
  <c r="M88" i="2"/>
  <c r="M82" i="2"/>
  <c r="M103" i="2"/>
  <c r="M83" i="2"/>
  <c r="M75" i="2"/>
  <c r="M104" i="2"/>
  <c r="M96" i="2"/>
  <c r="M84" i="2"/>
  <c r="M76" i="2"/>
  <c r="M85" i="2"/>
  <c r="M77" i="2"/>
  <c r="M86" i="2"/>
  <c r="M78" i="2"/>
  <c r="U105" i="2"/>
  <c r="U97" i="2"/>
  <c r="U89" i="2"/>
  <c r="U106" i="2"/>
  <c r="U98" i="2"/>
  <c r="U107" i="2"/>
  <c r="U99" i="2"/>
  <c r="U91" i="2"/>
  <c r="U100" i="2"/>
  <c r="U92" i="2"/>
  <c r="U101" i="2"/>
  <c r="U93" i="2"/>
  <c r="U102" i="2"/>
  <c r="U94" i="2"/>
  <c r="U80" i="2"/>
  <c r="U103" i="2"/>
  <c r="U96" i="2"/>
  <c r="U81" i="2"/>
  <c r="U73" i="2"/>
  <c r="U104" i="2"/>
  <c r="U82" i="2"/>
  <c r="U87" i="2"/>
  <c r="U83" i="2"/>
  <c r="U75" i="2"/>
  <c r="U95" i="2"/>
  <c r="U88" i="2"/>
  <c r="U84" i="2"/>
  <c r="U76" i="2"/>
  <c r="U85" i="2"/>
  <c r="U77" i="2"/>
  <c r="U86" i="2"/>
  <c r="U78" i="2"/>
  <c r="AC105" i="2"/>
  <c r="AC97" i="2"/>
  <c r="AC89" i="2"/>
  <c r="AC106" i="2"/>
  <c r="AC98" i="2"/>
  <c r="AC107" i="2"/>
  <c r="AC99" i="2"/>
  <c r="AC91" i="2"/>
  <c r="AC100" i="2"/>
  <c r="AC92" i="2"/>
  <c r="AC101" i="2"/>
  <c r="AC93" i="2"/>
  <c r="AC102" i="2"/>
  <c r="AC94" i="2"/>
  <c r="AC104" i="2"/>
  <c r="AC80" i="2"/>
  <c r="AC95" i="2"/>
  <c r="AC81" i="2"/>
  <c r="AC73" i="2"/>
  <c r="AC82" i="2"/>
  <c r="AC83" i="2"/>
  <c r="AC75" i="2"/>
  <c r="AC90" i="2"/>
  <c r="AC84" i="2"/>
  <c r="AC76" i="2"/>
  <c r="AC87" i="2"/>
  <c r="AC85" i="2"/>
  <c r="AC77" i="2"/>
  <c r="AC96" i="2"/>
  <c r="AC88" i="2"/>
  <c r="AC86" i="2"/>
  <c r="AC78" i="2"/>
  <c r="N55" i="2"/>
  <c r="V55" i="2"/>
  <c r="AD55" i="2"/>
  <c r="O57" i="2"/>
  <c r="W57" i="2"/>
  <c r="AE57" i="2"/>
  <c r="P58" i="2"/>
  <c r="X58" i="2"/>
  <c r="AF58" i="2"/>
  <c r="Q59" i="2"/>
  <c r="Y59" i="2"/>
  <c r="AG59" i="2"/>
  <c r="J60" i="2"/>
  <c r="R60" i="2"/>
  <c r="Z60" i="2"/>
  <c r="S61" i="2"/>
  <c r="AA61" i="2"/>
  <c r="L62" i="2"/>
  <c r="T62" i="2"/>
  <c r="AB62" i="2"/>
  <c r="M63" i="2"/>
  <c r="U63" i="2"/>
  <c r="AC63" i="2"/>
  <c r="N64" i="2"/>
  <c r="V64" i="2"/>
  <c r="AD64" i="2"/>
  <c r="O65" i="2"/>
  <c r="W65" i="2"/>
  <c r="AE65" i="2"/>
  <c r="P66" i="2"/>
  <c r="X66" i="2"/>
  <c r="AF66" i="2"/>
  <c r="Q67" i="2"/>
  <c r="Y67" i="2"/>
  <c r="AG67" i="2"/>
  <c r="J68" i="2"/>
  <c r="R68" i="2"/>
  <c r="Z68" i="2"/>
  <c r="S69" i="2"/>
  <c r="AA69" i="2"/>
  <c r="L70" i="2"/>
  <c r="T70" i="2"/>
  <c r="AB70" i="2"/>
  <c r="N71" i="2"/>
  <c r="W71" i="2"/>
  <c r="AF71" i="2"/>
  <c r="J72" i="2"/>
  <c r="S72" i="2"/>
  <c r="J73" i="2"/>
  <c r="P74" i="2"/>
  <c r="AF74" i="2"/>
  <c r="X75" i="2"/>
  <c r="O76" i="2"/>
  <c r="Z77" i="2"/>
  <c r="Q78" i="2"/>
  <c r="P82" i="2"/>
  <c r="R84" i="2"/>
  <c r="T86" i="2"/>
  <c r="Z100" i="2"/>
  <c r="N106" i="2"/>
  <c r="N98" i="2"/>
  <c r="N90" i="2"/>
  <c r="N107" i="2"/>
  <c r="N99" i="2"/>
  <c r="N100" i="2"/>
  <c r="N92" i="2"/>
  <c r="N101" i="2"/>
  <c r="N93" i="2"/>
  <c r="N102" i="2"/>
  <c r="N94" i="2"/>
  <c r="N103" i="2"/>
  <c r="N95" i="2"/>
  <c r="N87" i="2"/>
  <c r="N81" i="2"/>
  <c r="N88" i="2"/>
  <c r="N82" i="2"/>
  <c r="N74" i="2"/>
  <c r="N97" i="2"/>
  <c r="N89" i="2"/>
  <c r="N83" i="2"/>
  <c r="N104" i="2"/>
  <c r="N96" i="2"/>
  <c r="N84" i="2"/>
  <c r="N76" i="2"/>
  <c r="N105" i="2"/>
  <c r="N85" i="2"/>
  <c r="N77" i="2"/>
  <c r="N86" i="2"/>
  <c r="N78" i="2"/>
  <c r="N91" i="2"/>
  <c r="N79" i="2"/>
  <c r="V106" i="2"/>
  <c r="V98" i="2"/>
  <c r="V90" i="2"/>
  <c r="V107" i="2"/>
  <c r="V99" i="2"/>
  <c r="V100" i="2"/>
  <c r="V92" i="2"/>
  <c r="V101" i="2"/>
  <c r="V93" i="2"/>
  <c r="V102" i="2"/>
  <c r="V94" i="2"/>
  <c r="V103" i="2"/>
  <c r="V95" i="2"/>
  <c r="V97" i="2"/>
  <c r="V96" i="2"/>
  <c r="V81" i="2"/>
  <c r="V104" i="2"/>
  <c r="V82" i="2"/>
  <c r="V74" i="2"/>
  <c r="V105" i="2"/>
  <c r="V87" i="2"/>
  <c r="V83" i="2"/>
  <c r="V91" i="2"/>
  <c r="V88" i="2"/>
  <c r="V84" i="2"/>
  <c r="V76" i="2"/>
  <c r="V89" i="2"/>
  <c r="V85" i="2"/>
  <c r="V77" i="2"/>
  <c r="V86" i="2"/>
  <c r="V78" i="2"/>
  <c r="V79" i="2"/>
  <c r="AD106" i="2"/>
  <c r="AD98" i="2"/>
  <c r="AD90" i="2"/>
  <c r="AD107" i="2"/>
  <c r="AD99" i="2"/>
  <c r="AD100" i="2"/>
  <c r="AD92" i="2"/>
  <c r="AD101" i="2"/>
  <c r="AD93" i="2"/>
  <c r="AD102" i="2"/>
  <c r="AD94" i="2"/>
  <c r="AD103" i="2"/>
  <c r="AD95" i="2"/>
  <c r="AD105" i="2"/>
  <c r="AD91" i="2"/>
  <c r="AD81" i="2"/>
  <c r="AD82" i="2"/>
  <c r="AD74" i="2"/>
  <c r="AD83" i="2"/>
  <c r="AD84" i="2"/>
  <c r="AD76" i="2"/>
  <c r="AD87" i="2"/>
  <c r="AD85" i="2"/>
  <c r="AD77" i="2"/>
  <c r="AD96" i="2"/>
  <c r="AD88" i="2"/>
  <c r="AD86" i="2"/>
  <c r="AD78" i="2"/>
  <c r="AD97" i="2"/>
  <c r="AD79" i="2"/>
  <c r="O55" i="2"/>
  <c r="W55" i="2"/>
  <c r="AE55" i="2"/>
  <c r="P57" i="2"/>
  <c r="X57" i="2"/>
  <c r="AF57" i="2"/>
  <c r="Q58" i="2"/>
  <c r="Y58" i="2"/>
  <c r="AG58" i="2"/>
  <c r="J59" i="2"/>
  <c r="R59" i="2"/>
  <c r="Z59" i="2"/>
  <c r="S60" i="2"/>
  <c r="AA60" i="2"/>
  <c r="L61" i="2"/>
  <c r="T61" i="2"/>
  <c r="AB61" i="2"/>
  <c r="M62" i="2"/>
  <c r="U62" i="2"/>
  <c r="AC62" i="2"/>
  <c r="N63" i="2"/>
  <c r="V63" i="2"/>
  <c r="AD63" i="2"/>
  <c r="O64" i="2"/>
  <c r="W64" i="2"/>
  <c r="P65" i="2"/>
  <c r="X65" i="2"/>
  <c r="AF65" i="2"/>
  <c r="Q66" i="2"/>
  <c r="Y66" i="2"/>
  <c r="AG66" i="2"/>
  <c r="J67" i="2"/>
  <c r="R67" i="2"/>
  <c r="Z67" i="2"/>
  <c r="S68" i="2"/>
  <c r="AA68" i="2"/>
  <c r="L69" i="2"/>
  <c r="T69" i="2"/>
  <c r="AB69" i="2"/>
  <c r="M70" i="2"/>
  <c r="U70" i="2"/>
  <c r="AC70" i="2"/>
  <c r="X71" i="2"/>
  <c r="AG71" i="2"/>
  <c r="U72" i="2"/>
  <c r="AF72" i="2"/>
  <c r="R74" i="2"/>
  <c r="Y75" i="2"/>
  <c r="Q76" i="2"/>
  <c r="AA77" i="2"/>
  <c r="S78" i="2"/>
  <c r="J79" i="2"/>
  <c r="V80" i="2"/>
  <c r="X82" i="2"/>
  <c r="Z84" i="2"/>
  <c r="AB86" i="2"/>
  <c r="Q89" i="2"/>
  <c r="Y94" i="2"/>
  <c r="AA101" i="2"/>
  <c r="O107" i="2"/>
  <c r="O99" i="2"/>
  <c r="O91" i="2"/>
  <c r="O100" i="2"/>
  <c r="O101" i="2"/>
  <c r="O93" i="2"/>
  <c r="O102" i="2"/>
  <c r="O94" i="2"/>
  <c r="O103" i="2"/>
  <c r="O95" i="2"/>
  <c r="O104" i="2"/>
  <c r="O96" i="2"/>
  <c r="O88" i="2"/>
  <c r="O82" i="2"/>
  <c r="O97" i="2"/>
  <c r="O90" i="2"/>
  <c r="O89" i="2"/>
  <c r="O83" i="2"/>
  <c r="O75" i="2"/>
  <c r="O98" i="2"/>
  <c r="O92" i="2"/>
  <c r="O84" i="2"/>
  <c r="O105" i="2"/>
  <c r="O85" i="2"/>
  <c r="O77" i="2"/>
  <c r="O106" i="2"/>
  <c r="O86" i="2"/>
  <c r="O78" i="2"/>
  <c r="O79" i="2"/>
  <c r="O80" i="2"/>
  <c r="W107" i="2"/>
  <c r="W99" i="2"/>
  <c r="W91" i="2"/>
  <c r="W100" i="2"/>
  <c r="W101" i="2"/>
  <c r="W93" i="2"/>
  <c r="W102" i="2"/>
  <c r="W94" i="2"/>
  <c r="W103" i="2"/>
  <c r="W95" i="2"/>
  <c r="W104" i="2"/>
  <c r="W96" i="2"/>
  <c r="W98" i="2"/>
  <c r="W82" i="2"/>
  <c r="W105" i="2"/>
  <c r="W87" i="2"/>
  <c r="W83" i="2"/>
  <c r="W75" i="2"/>
  <c r="W106" i="2"/>
  <c r="W88" i="2"/>
  <c r="W84" i="2"/>
  <c r="W89" i="2"/>
  <c r="W85" i="2"/>
  <c r="W77" i="2"/>
  <c r="W86" i="2"/>
  <c r="W78" i="2"/>
  <c r="W79" i="2"/>
  <c r="W90" i="2"/>
  <c r="W80" i="2"/>
  <c r="W72" i="2"/>
  <c r="AE107" i="2"/>
  <c r="AE99" i="2"/>
  <c r="AE91" i="2"/>
  <c r="AE100" i="2"/>
  <c r="AE101" i="2"/>
  <c r="AE93" i="2"/>
  <c r="AE102" i="2"/>
  <c r="AE94" i="2"/>
  <c r="AE103" i="2"/>
  <c r="AE95" i="2"/>
  <c r="AE104" i="2"/>
  <c r="AE96" i="2"/>
  <c r="AE106" i="2"/>
  <c r="AE82" i="2"/>
  <c r="AE83" i="2"/>
  <c r="AE75" i="2"/>
  <c r="AE84" i="2"/>
  <c r="AE90" i="2"/>
  <c r="AE87" i="2"/>
  <c r="AE85" i="2"/>
  <c r="AE77" i="2"/>
  <c r="AE92" i="2"/>
  <c r="AE88" i="2"/>
  <c r="AE86" i="2"/>
  <c r="AE78" i="2"/>
  <c r="AE97" i="2"/>
  <c r="AE79" i="2"/>
  <c r="AE98" i="2"/>
  <c r="AE89" i="2"/>
  <c r="AE80" i="2"/>
  <c r="AE72" i="2"/>
  <c r="P55" i="2"/>
  <c r="X55" i="2"/>
  <c r="AF55" i="2"/>
  <c r="Q57" i="2"/>
  <c r="Y57" i="2"/>
  <c r="AG57" i="2"/>
  <c r="J58" i="2"/>
  <c r="R58" i="2"/>
  <c r="Z58" i="2"/>
  <c r="S59" i="2"/>
  <c r="AA59" i="2"/>
  <c r="L60" i="2"/>
  <c r="T60" i="2"/>
  <c r="AB60" i="2"/>
  <c r="M61" i="2"/>
  <c r="U61" i="2"/>
  <c r="AC61" i="2"/>
  <c r="N62" i="2"/>
  <c r="V62" i="2"/>
  <c r="AD62" i="2"/>
  <c r="O63" i="2"/>
  <c r="W63" i="2"/>
  <c r="AE63" i="2"/>
  <c r="P64" i="2"/>
  <c r="AF64" i="2"/>
  <c r="Q65" i="2"/>
  <c r="Y65" i="2"/>
  <c r="AG65" i="2"/>
  <c r="J66" i="2"/>
  <c r="R66" i="2"/>
  <c r="Z66" i="2"/>
  <c r="S67" i="2"/>
  <c r="AA67" i="2"/>
  <c r="L68" i="2"/>
  <c r="T68" i="2"/>
  <c r="AB68" i="2"/>
  <c r="M69" i="2"/>
  <c r="U69" i="2"/>
  <c r="AC69" i="2"/>
  <c r="N70" i="2"/>
  <c r="V70" i="2"/>
  <c r="AD70" i="2"/>
  <c r="Y71" i="2"/>
  <c r="M72" i="2"/>
  <c r="V72" i="2"/>
  <c r="AG72" i="2"/>
  <c r="L73" i="2"/>
  <c r="Y73" i="2"/>
  <c r="S74" i="2"/>
  <c r="AD75" i="2"/>
  <c r="R76" i="2"/>
  <c r="J77" i="2"/>
  <c r="AF77" i="2"/>
  <c r="T78" i="2"/>
  <c r="L79" i="2"/>
  <c r="AD80" i="2"/>
  <c r="AD89" i="2"/>
  <c r="M95" i="2"/>
  <c r="AB102" i="2"/>
  <c r="P107" i="2"/>
  <c r="P100" i="2"/>
  <c r="P92" i="2"/>
  <c r="P101" i="2"/>
  <c r="P102" i="2"/>
  <c r="P94" i="2"/>
  <c r="P103" i="2"/>
  <c r="P95" i="2"/>
  <c r="P87" i="2"/>
  <c r="P104" i="2"/>
  <c r="P96" i="2"/>
  <c r="P105" i="2"/>
  <c r="P97" i="2"/>
  <c r="P90" i="2"/>
  <c r="P89" i="2"/>
  <c r="P83" i="2"/>
  <c r="P98" i="2"/>
  <c r="P84" i="2"/>
  <c r="P76" i="2"/>
  <c r="P99" i="2"/>
  <c r="P85" i="2"/>
  <c r="P106" i="2"/>
  <c r="P86" i="2"/>
  <c r="P78" i="2"/>
  <c r="P79" i="2"/>
  <c r="P91" i="2"/>
  <c r="P80" i="2"/>
  <c r="P93" i="2"/>
  <c r="P81" i="2"/>
  <c r="P73" i="2"/>
  <c r="X107" i="2"/>
  <c r="X100" i="2"/>
  <c r="X92" i="2"/>
  <c r="X101" i="2"/>
  <c r="X102" i="2"/>
  <c r="X94" i="2"/>
  <c r="X103" i="2"/>
  <c r="X95" i="2"/>
  <c r="X87" i="2"/>
  <c r="X104" i="2"/>
  <c r="X96" i="2"/>
  <c r="X105" i="2"/>
  <c r="X97" i="2"/>
  <c r="X89" i="2"/>
  <c r="X99" i="2"/>
  <c r="X83" i="2"/>
  <c r="X106" i="2"/>
  <c r="X88" i="2"/>
  <c r="X84" i="2"/>
  <c r="X76" i="2"/>
  <c r="X91" i="2"/>
  <c r="X85" i="2"/>
  <c r="X93" i="2"/>
  <c r="X86" i="2"/>
  <c r="X78" i="2"/>
  <c r="X79" i="2"/>
  <c r="X90" i="2"/>
  <c r="X80" i="2"/>
  <c r="X81" i="2"/>
  <c r="X73" i="2"/>
  <c r="AF107" i="2"/>
  <c r="AF100" i="2"/>
  <c r="AF92" i="2"/>
  <c r="AF101" i="2"/>
  <c r="AF102" i="2"/>
  <c r="AF94" i="2"/>
  <c r="AF103" i="2"/>
  <c r="AF95" i="2"/>
  <c r="AF87" i="2"/>
  <c r="AF104" i="2"/>
  <c r="AF96" i="2"/>
  <c r="AF105" i="2"/>
  <c r="AF97" i="2"/>
  <c r="AF89" i="2"/>
  <c r="AF93" i="2"/>
  <c r="AF83" i="2"/>
  <c r="AF84" i="2"/>
  <c r="AF76" i="2"/>
  <c r="AF90" i="2"/>
  <c r="AF85" i="2"/>
  <c r="AF88" i="2"/>
  <c r="AF86" i="2"/>
  <c r="AF78" i="2"/>
  <c r="AF79" i="2"/>
  <c r="AF98" i="2"/>
  <c r="AF80" i="2"/>
  <c r="AF99" i="2"/>
  <c r="AF81" i="2"/>
  <c r="AF73" i="2"/>
  <c r="Q55" i="2"/>
  <c r="Y55" i="2"/>
  <c r="AG55" i="2"/>
  <c r="J57" i="2"/>
  <c r="R57" i="2"/>
  <c r="Z57" i="2"/>
  <c r="S58" i="2"/>
  <c r="AA58" i="2"/>
  <c r="L59" i="2"/>
  <c r="T59" i="2"/>
  <c r="AB59" i="2"/>
  <c r="M60" i="2"/>
  <c r="U60" i="2"/>
  <c r="AC60" i="2"/>
  <c r="N61" i="2"/>
  <c r="V61" i="2"/>
  <c r="AD61" i="2"/>
  <c r="O62" i="2"/>
  <c r="W62" i="2"/>
  <c r="AE62" i="2"/>
  <c r="P63" i="2"/>
  <c r="X63" i="2"/>
  <c r="AF63" i="2"/>
  <c r="Q64" i="2"/>
  <c r="Y64" i="2"/>
  <c r="J65" i="2"/>
  <c r="R65" i="2"/>
  <c r="Z65" i="2"/>
  <c r="S66" i="2"/>
  <c r="AA66" i="2"/>
  <c r="L67" i="2"/>
  <c r="T67" i="2"/>
  <c r="AB67" i="2"/>
  <c r="M68" i="2"/>
  <c r="U68" i="2"/>
  <c r="AC68" i="2"/>
  <c r="N69" i="2"/>
  <c r="V69" i="2"/>
  <c r="AD69" i="2"/>
  <c r="O70" i="2"/>
  <c r="W70" i="2"/>
  <c r="AE70" i="2"/>
  <c r="Z71" i="2"/>
  <c r="N72" i="2"/>
  <c r="X72" i="2"/>
  <c r="N73" i="2"/>
  <c r="Z73" i="2"/>
  <c r="U74" i="2"/>
  <c r="AF75" i="2"/>
  <c r="W76" i="2"/>
  <c r="M79" i="2"/>
  <c r="O87" i="2"/>
  <c r="U90" i="2"/>
  <c r="AC103" i="2"/>
  <c r="Q101" i="2"/>
  <c r="Q93" i="2"/>
  <c r="Q102" i="2"/>
  <c r="Q103" i="2"/>
  <c r="Q95" i="2"/>
  <c r="Q104" i="2"/>
  <c r="Q96" i="2"/>
  <c r="Q88" i="2"/>
  <c r="Q105" i="2"/>
  <c r="Q97" i="2"/>
  <c r="Q106" i="2"/>
  <c r="Q98" i="2"/>
  <c r="Q90" i="2"/>
  <c r="Q84" i="2"/>
  <c r="Q99" i="2"/>
  <c r="Q92" i="2"/>
  <c r="Q85" i="2"/>
  <c r="Q77" i="2"/>
  <c r="Q100" i="2"/>
  <c r="Q94" i="2"/>
  <c r="Q86" i="2"/>
  <c r="Q79" i="2"/>
  <c r="Q91" i="2"/>
  <c r="Q80" i="2"/>
  <c r="Q107" i="2"/>
  <c r="Q81" i="2"/>
  <c r="Q87" i="2"/>
  <c r="Q82" i="2"/>
  <c r="Q74" i="2"/>
  <c r="Y101" i="2"/>
  <c r="Y93" i="2"/>
  <c r="Y102" i="2"/>
  <c r="Y103" i="2"/>
  <c r="Y95" i="2"/>
  <c r="Y104" i="2"/>
  <c r="Y96" i="2"/>
  <c r="Y88" i="2"/>
  <c r="Y105" i="2"/>
  <c r="Y97" i="2"/>
  <c r="Y106" i="2"/>
  <c r="Y98" i="2"/>
  <c r="Y90" i="2"/>
  <c r="Y100" i="2"/>
  <c r="Y87" i="2"/>
  <c r="Y84" i="2"/>
  <c r="Y91" i="2"/>
  <c r="Y85" i="2"/>
  <c r="Y77" i="2"/>
  <c r="Y89" i="2"/>
  <c r="Y86" i="2"/>
  <c r="Y79" i="2"/>
  <c r="Y107" i="2"/>
  <c r="Y80" i="2"/>
  <c r="Y81" i="2"/>
  <c r="Y92" i="2"/>
  <c r="Y82" i="2"/>
  <c r="Y74" i="2"/>
  <c r="AG101" i="2"/>
  <c r="AG93" i="2"/>
  <c r="AG102" i="2"/>
  <c r="AG103" i="2"/>
  <c r="AG95" i="2"/>
  <c r="AG104" i="2"/>
  <c r="AG96" i="2"/>
  <c r="AG88" i="2"/>
  <c r="AG105" i="2"/>
  <c r="AG97" i="2"/>
  <c r="AG89" i="2"/>
  <c r="AG106" i="2"/>
  <c r="AG98" i="2"/>
  <c r="AG90" i="2"/>
  <c r="AG84" i="2"/>
  <c r="AG85" i="2"/>
  <c r="AG77" i="2"/>
  <c r="AG87" i="2"/>
  <c r="AG86" i="2"/>
  <c r="AG107" i="2"/>
  <c r="AG92" i="2"/>
  <c r="AG79" i="2"/>
  <c r="AG94" i="2"/>
  <c r="AG80" i="2"/>
  <c r="AG99" i="2"/>
  <c r="AG81" i="2"/>
  <c r="AG100" i="2"/>
  <c r="AG91" i="2"/>
  <c r="AG82" i="2"/>
  <c r="AG74" i="2"/>
  <c r="J55" i="2"/>
  <c r="R55" i="2"/>
  <c r="Z55" i="2"/>
  <c r="S57" i="2"/>
  <c r="AA57" i="2"/>
  <c r="L58" i="2"/>
  <c r="T58" i="2"/>
  <c r="AB58" i="2"/>
  <c r="M59" i="2"/>
  <c r="U59" i="2"/>
  <c r="AC59" i="2"/>
  <c r="N60" i="2"/>
  <c r="V60" i="2"/>
  <c r="AD60" i="2"/>
  <c r="O61" i="2"/>
  <c r="W61" i="2"/>
  <c r="AE61" i="2"/>
  <c r="P62" i="2"/>
  <c r="X62" i="2"/>
  <c r="AF62" i="2"/>
  <c r="Q63" i="2"/>
  <c r="Y63" i="2"/>
  <c r="AG63" i="2"/>
  <c r="J64" i="2"/>
  <c r="R64" i="2"/>
  <c r="Z64" i="2"/>
  <c r="S65" i="2"/>
  <c r="AA65" i="2"/>
  <c r="L66" i="2"/>
  <c r="T66" i="2"/>
  <c r="AB66" i="2"/>
  <c r="M67" i="2"/>
  <c r="U67" i="2"/>
  <c r="AC67" i="2"/>
  <c r="N68" i="2"/>
  <c r="V68" i="2"/>
  <c r="AD68" i="2"/>
  <c r="O69" i="2"/>
  <c r="W69" i="2"/>
  <c r="AE69" i="2"/>
  <c r="P70" i="2"/>
  <c r="X70" i="2"/>
  <c r="AF70" i="2"/>
  <c r="R71" i="2"/>
  <c r="AB71" i="2"/>
  <c r="O72" i="2"/>
  <c r="Y72" i="2"/>
  <c r="O73" i="2"/>
  <c r="AB73" i="2"/>
  <c r="W74" i="2"/>
  <c r="N75" i="2"/>
  <c r="AG75" i="2"/>
  <c r="Y76" i="2"/>
  <c r="P77" i="2"/>
  <c r="AA78" i="2"/>
  <c r="O81" i="2"/>
  <c r="Q83" i="2"/>
  <c r="S85" i="2"/>
  <c r="AA96" i="2"/>
  <c r="AD104" i="2"/>
  <c r="J102" i="2"/>
  <c r="J94" i="2"/>
  <c r="J103" i="2"/>
  <c r="J104" i="2"/>
  <c r="J96" i="2"/>
  <c r="J105" i="2"/>
  <c r="J97" i="2"/>
  <c r="J89" i="2"/>
  <c r="J106" i="2"/>
  <c r="J98" i="2"/>
  <c r="J90" i="2"/>
  <c r="J107" i="2"/>
  <c r="J99" i="2"/>
  <c r="J91" i="2"/>
  <c r="J93" i="2"/>
  <c r="J85" i="2"/>
  <c r="J95" i="2"/>
  <c r="J86" i="2"/>
  <c r="J78" i="2"/>
  <c r="J100" i="2"/>
  <c r="J92" i="2"/>
  <c r="J87" i="2"/>
  <c r="J80" i="2"/>
  <c r="J101" i="2"/>
  <c r="J88" i="2"/>
  <c r="J81" i="2"/>
  <c r="J82" i="2"/>
  <c r="J83" i="2"/>
  <c r="J75" i="2"/>
  <c r="R102" i="2"/>
  <c r="R94" i="2"/>
  <c r="R103" i="2"/>
  <c r="R104" i="2"/>
  <c r="R96" i="2"/>
  <c r="R105" i="2"/>
  <c r="R97" i="2"/>
  <c r="R89" i="2"/>
  <c r="R106" i="2"/>
  <c r="R98" i="2"/>
  <c r="R90" i="2"/>
  <c r="R107" i="2"/>
  <c r="R99" i="2"/>
  <c r="R91" i="2"/>
  <c r="R92" i="2"/>
  <c r="R85" i="2"/>
  <c r="R100" i="2"/>
  <c r="R86" i="2"/>
  <c r="R78" i="2"/>
  <c r="R101" i="2"/>
  <c r="R80" i="2"/>
  <c r="R81" i="2"/>
  <c r="R93" i="2"/>
  <c r="R87" i="2"/>
  <c r="R82" i="2"/>
  <c r="R95" i="2"/>
  <c r="R88" i="2"/>
  <c r="R83" i="2"/>
  <c r="R75" i="2"/>
  <c r="Z102" i="2"/>
  <c r="Z94" i="2"/>
  <c r="Z103" i="2"/>
  <c r="Z104" i="2"/>
  <c r="Z96" i="2"/>
  <c r="Z105" i="2"/>
  <c r="Z97" i="2"/>
  <c r="Z89" i="2"/>
  <c r="Z106" i="2"/>
  <c r="Z98" i="2"/>
  <c r="Z90" i="2"/>
  <c r="Z107" i="2"/>
  <c r="Z99" i="2"/>
  <c r="Z91" i="2"/>
  <c r="Z101" i="2"/>
  <c r="Z88" i="2"/>
  <c r="Z85" i="2"/>
  <c r="Z86" i="2"/>
  <c r="Z78" i="2"/>
  <c r="Z93" i="2"/>
  <c r="Z79" i="2"/>
  <c r="Z95" i="2"/>
  <c r="Z80" i="2"/>
  <c r="Z81" i="2"/>
  <c r="Z92" i="2"/>
  <c r="Z82" i="2"/>
  <c r="Z74" i="2"/>
  <c r="Z83" i="2"/>
  <c r="Z75" i="2"/>
  <c r="S55" i="2"/>
  <c r="AA55" i="2"/>
  <c r="L57" i="2"/>
  <c r="T57" i="2"/>
  <c r="AB57" i="2"/>
  <c r="M58" i="2"/>
  <c r="U58" i="2"/>
  <c r="AC58" i="2"/>
  <c r="N59" i="2"/>
  <c r="V59" i="2"/>
  <c r="AD59" i="2"/>
  <c r="O60" i="2"/>
  <c r="W60" i="2"/>
  <c r="AE60" i="2"/>
  <c r="P61" i="2"/>
  <c r="X61" i="2"/>
  <c r="AF61" i="2"/>
  <c r="Q62" i="2"/>
  <c r="Y62" i="2"/>
  <c r="AG62" i="2"/>
  <c r="J63" i="2"/>
  <c r="R63" i="2"/>
  <c r="Z63" i="2"/>
  <c r="AA64" i="2"/>
  <c r="L65" i="2"/>
  <c r="T65" i="2"/>
  <c r="AB65" i="2"/>
  <c r="M66" i="2"/>
  <c r="U66" i="2"/>
  <c r="AC66" i="2"/>
  <c r="N67" i="2"/>
  <c r="V67" i="2"/>
  <c r="AD67" i="2"/>
  <c r="O68" i="2"/>
  <c r="W68" i="2"/>
  <c r="AE68" i="2"/>
  <c r="P69" i="2"/>
  <c r="X69" i="2"/>
  <c r="AF69" i="2"/>
  <c r="Q70" i="2"/>
  <c r="Y70" i="2"/>
  <c r="AG70" i="2"/>
  <c r="J71" i="2"/>
  <c r="T71" i="2"/>
  <c r="AC71" i="2"/>
  <c r="P72" i="2"/>
  <c r="Z72" i="2"/>
  <c r="Q73" i="2"/>
  <c r="AD73" i="2"/>
  <c r="X74" i="2"/>
  <c r="P75" i="2"/>
  <c r="Z76" i="2"/>
  <c r="R77" i="2"/>
  <c r="AB78" i="2"/>
  <c r="U79" i="2"/>
  <c r="W81" i="2"/>
  <c r="Y83" i="2"/>
  <c r="AF91" i="2"/>
  <c r="W97" i="2"/>
  <c r="AE105" i="2"/>
  <c r="S103" i="2"/>
  <c r="S95" i="2"/>
  <c r="S87" i="2"/>
  <c r="S104" i="2"/>
  <c r="S105" i="2"/>
  <c r="S97" i="2"/>
  <c r="S106" i="2"/>
  <c r="S98" i="2"/>
  <c r="S90" i="2"/>
  <c r="S107" i="2"/>
  <c r="S99" i="2"/>
  <c r="S91" i="2"/>
  <c r="S100" i="2"/>
  <c r="S92" i="2"/>
  <c r="S86" i="2"/>
  <c r="S101" i="2"/>
  <c r="S94" i="2"/>
  <c r="S79" i="2"/>
  <c r="S71" i="2"/>
  <c r="S102" i="2"/>
  <c r="S96" i="2"/>
  <c r="S80" i="2"/>
  <c r="S81" i="2"/>
  <c r="S73" i="2"/>
  <c r="S93" i="2"/>
  <c r="S82" i="2"/>
  <c r="S88" i="2"/>
  <c r="S83" i="2"/>
  <c r="S75" i="2"/>
  <c r="S89" i="2"/>
  <c r="S84" i="2"/>
  <c r="S76" i="2"/>
  <c r="AA103" i="2"/>
  <c r="AA95" i="2"/>
  <c r="AA87" i="2"/>
  <c r="AA104" i="2"/>
  <c r="AA105" i="2"/>
  <c r="AA97" i="2"/>
  <c r="AA106" i="2"/>
  <c r="AA98" i="2"/>
  <c r="AA90" i="2"/>
  <c r="AA107" i="2"/>
  <c r="AA99" i="2"/>
  <c r="AA91" i="2"/>
  <c r="AA100" i="2"/>
  <c r="AA92" i="2"/>
  <c r="AA102" i="2"/>
  <c r="AA86" i="2"/>
  <c r="AA93" i="2"/>
  <c r="AA89" i="2"/>
  <c r="AA79" i="2"/>
  <c r="AA71" i="2"/>
  <c r="AA80" i="2"/>
  <c r="AA81" i="2"/>
  <c r="AA73" i="2"/>
  <c r="AA82" i="2"/>
  <c r="AA74" i="2"/>
  <c r="AA83" i="2"/>
  <c r="AA75" i="2"/>
  <c r="AA94" i="2"/>
  <c r="AA84" i="2"/>
  <c r="AA76" i="2"/>
  <c r="L55" i="2"/>
  <c r="T55" i="2"/>
  <c r="AB55" i="2"/>
  <c r="M57" i="2"/>
  <c r="U57" i="2"/>
  <c r="AC57" i="2"/>
  <c r="N58" i="2"/>
  <c r="V58" i="2"/>
  <c r="AD58" i="2"/>
  <c r="O59" i="2"/>
  <c r="W59" i="2"/>
  <c r="AE59" i="2"/>
  <c r="P60" i="2"/>
  <c r="X60" i="2"/>
  <c r="AF60" i="2"/>
  <c r="Q61" i="2"/>
  <c r="Y61" i="2"/>
  <c r="AG61" i="2"/>
  <c r="J62" i="2"/>
  <c r="R62" i="2"/>
  <c r="Z62" i="2"/>
  <c r="S63" i="2"/>
  <c r="AA63" i="2"/>
  <c r="L64" i="2"/>
  <c r="T64" i="2"/>
  <c r="AB64" i="2"/>
  <c r="M65" i="2"/>
  <c r="U65" i="2"/>
  <c r="AC65" i="2"/>
  <c r="N66" i="2"/>
  <c r="V66" i="2"/>
  <c r="AD66" i="2"/>
  <c r="O67" i="2"/>
  <c r="W67" i="2"/>
  <c r="AE67" i="2"/>
  <c r="P68" i="2"/>
  <c r="X68" i="2"/>
  <c r="AF68" i="2"/>
  <c r="Q69" i="2"/>
  <c r="Y69" i="2"/>
  <c r="AG69" i="2"/>
  <c r="J70" i="2"/>
  <c r="R70" i="2"/>
  <c r="Z70" i="2"/>
  <c r="L71" i="2"/>
  <c r="U71" i="2"/>
  <c r="AD71" i="2"/>
  <c r="Q72" i="2"/>
  <c r="AA72" i="2"/>
  <c r="R73" i="2"/>
  <c r="AE73" i="2"/>
  <c r="M74" i="2"/>
  <c r="AC74" i="2"/>
  <c r="Q75" i="2"/>
  <c r="AE76" i="2"/>
  <c r="S77" i="2"/>
  <c r="AG78" i="2"/>
  <c r="AC79" i="2"/>
  <c r="AE81" i="2"/>
  <c r="AG83" i="2"/>
  <c r="P88" i="2"/>
  <c r="W92" i="2"/>
  <c r="X98" i="2"/>
  <c r="AF106" i="2"/>
  <c r="AH108" i="2" l="1"/>
  <c r="M108" i="2"/>
  <c r="Z108" i="2"/>
  <c r="F108" i="2"/>
  <c r="AB108" i="2"/>
  <c r="R108" i="2"/>
  <c r="T108" i="2"/>
  <c r="J108" i="2"/>
  <c r="AF108" i="2"/>
  <c r="D108" i="2"/>
  <c r="E108" i="2"/>
  <c r="C108" i="2"/>
  <c r="L108" i="2"/>
  <c r="X108" i="2"/>
  <c r="AE108" i="2"/>
  <c r="G108" i="2"/>
  <c r="AA108" i="2"/>
  <c r="AG108" i="2"/>
  <c r="P108" i="2"/>
  <c r="W108" i="2"/>
  <c r="K108" i="2"/>
  <c r="S108" i="2"/>
  <c r="Y108" i="2"/>
  <c r="O108" i="2"/>
  <c r="AD108" i="2"/>
  <c r="AC108" i="2"/>
  <c r="Q108" i="2"/>
  <c r="V108" i="2"/>
  <c r="U108" i="2"/>
  <c r="N108" i="2"/>
  <c r="I108" i="2"/>
  <c r="H108" i="2"/>
  <c r="BN53" i="1"/>
  <c r="BM53" i="1"/>
  <c r="BL53" i="1" l="1"/>
  <c r="BK53" i="1"/>
  <c r="BJ53" i="1"/>
  <c r="BI53" i="1"/>
  <c r="BH53" i="1" l="1"/>
  <c r="BG53" i="1"/>
  <c r="BF53" i="1"/>
  <c r="BE53" i="1"/>
  <c r="AV53" i="1"/>
  <c r="AU53" i="1"/>
  <c r="AT53" i="1"/>
  <c r="AS53" i="1"/>
  <c r="AR53" i="1"/>
  <c r="AQ53" i="1"/>
  <c r="AP53" i="1"/>
  <c r="BD53" i="1"/>
  <c r="BC53" i="1"/>
  <c r="BB53" i="1"/>
  <c r="BA53" i="1"/>
  <c r="AZ53" i="1"/>
  <c r="AY53" i="1"/>
  <c r="AX53" i="1"/>
  <c r="AW53" i="1"/>
  <c r="AO53" i="1"/>
  <c r="AN53" i="1"/>
  <c r="AM53" i="1"/>
  <c r="AL53" i="1"/>
  <c r="AK53" i="1"/>
  <c r="AJ53" i="1"/>
  <c r="AI53" i="1"/>
  <c r="AH53" i="1"/>
  <c r="AG53" i="1"/>
  <c r="AF53" i="1"/>
  <c r="AE53" i="1"/>
  <c r="AD53" i="1"/>
  <c r="AC53" i="1"/>
  <c r="AB53" i="1"/>
  <c r="AA53" i="1"/>
  <c r="Z53" i="1"/>
  <c r="Y53" i="1"/>
  <c r="X53" i="1"/>
  <c r="W53" i="1"/>
  <c r="V53" i="1"/>
  <c r="U53" i="1"/>
  <c r="T53" i="1"/>
  <c r="S53" i="1"/>
  <c r="R53" i="1"/>
  <c r="Q53" i="1"/>
  <c r="P53" i="1"/>
  <c r="O53" i="1"/>
  <c r="N53" i="1"/>
  <c r="M53" i="1"/>
  <c r="L53" i="1"/>
  <c r="K53" i="1"/>
  <c r="J53" i="1"/>
  <c r="I53" i="1"/>
  <c r="H53" i="1"/>
  <c r="G53" i="1"/>
  <c r="F53" i="1"/>
  <c r="E53" i="1"/>
  <c r="D53" i="1"/>
  <c r="C53" i="1"/>
  <c r="B53" i="1"/>
</calcChain>
</file>

<file path=xl/sharedStrings.xml><?xml version="1.0" encoding="utf-8"?>
<sst xmlns="http://schemas.openxmlformats.org/spreadsheetml/2006/main" count="275" uniqueCount="120">
  <si>
    <t>STATE</t>
  </si>
  <si>
    <t>Alabama</t>
  </si>
  <si>
    <t>Alaska</t>
  </si>
  <si>
    <t>Arizona</t>
  </si>
  <si>
    <t>Arkansas</t>
  </si>
  <si>
    <t>California</t>
  </si>
  <si>
    <t>Connecticut</t>
  </si>
  <si>
    <t>Delaware</t>
  </si>
  <si>
    <t>Dist. of Col.</t>
  </si>
  <si>
    <t>Florida</t>
  </si>
  <si>
    <t>Georgia</t>
  </si>
  <si>
    <t>Hawaii</t>
  </si>
  <si>
    <t>Idaho</t>
  </si>
  <si>
    <t>Illinois</t>
  </si>
  <si>
    <t>Indiana</t>
  </si>
  <si>
    <t>Iowa</t>
  </si>
  <si>
    <t>Kansas</t>
  </si>
  <si>
    <t>Kentucky</t>
  </si>
  <si>
    <t>Louisiana</t>
  </si>
  <si>
    <t>Maine</t>
  </si>
  <si>
    <t>Maryland</t>
  </si>
  <si>
    <t>Michigan</t>
  </si>
  <si>
    <t>Minnesota</t>
  </si>
  <si>
    <t>Mississippi</t>
  </si>
  <si>
    <t>Missouri</t>
  </si>
  <si>
    <t>Montana</t>
  </si>
  <si>
    <t>Nebraska</t>
  </si>
  <si>
    <t>Nevada</t>
  </si>
  <si>
    <t>New Hampshire</t>
  </si>
  <si>
    <t>New Jersey</t>
  </si>
  <si>
    <t>New Mexico</t>
  </si>
  <si>
    <t>North Carolina</t>
  </si>
  <si>
    <t>North Dakota</t>
  </si>
  <si>
    <t>Ohio</t>
  </si>
  <si>
    <t>Oklahoma</t>
  </si>
  <si>
    <t>Pennsylvania</t>
  </si>
  <si>
    <t>Rhode Island</t>
  </si>
  <si>
    <t>South Carolina</t>
  </si>
  <si>
    <t>South Dakota</t>
  </si>
  <si>
    <t>Tennessee</t>
  </si>
  <si>
    <t>Texas</t>
  </si>
  <si>
    <t>Utah</t>
  </si>
  <si>
    <t>Vermont</t>
  </si>
  <si>
    <t>Virginia</t>
  </si>
  <si>
    <t>Washington</t>
  </si>
  <si>
    <t>West Virginia</t>
  </si>
  <si>
    <t>Wisconsin</t>
  </si>
  <si>
    <t>Wyoming</t>
  </si>
  <si>
    <t xml:space="preserve">     Total</t>
  </si>
  <si>
    <t>1/ The data in this table are from State authorities. Where data are not available, estimates were made by the FHWA. Private and commercial use of special fuels represent the volume of special fuels used on the highways.</t>
  </si>
  <si>
    <t xml:space="preserve">Source:  Highway Statistics, various years, Table MF-21, Column 12. </t>
  </si>
  <si>
    <t>State Energy Data System</t>
  </si>
  <si>
    <t>State Codes and Descriptions</t>
  </si>
  <si>
    <t xml:space="preserve">The State Codes are 2-character codes, following the U.S. Postal Service State abbreviations. Geographic </t>
  </si>
  <si>
    <t xml:space="preserve">areas used throughout SEDS includes the 50 States and the District of Columbia, and the United States. </t>
  </si>
  <si>
    <t>For production of crude oil and natural gas, Federal offshore regions are identified by X3 and X5.</t>
  </si>
  <si>
    <t>State Name</t>
  </si>
  <si>
    <t>State Code</t>
  </si>
  <si>
    <t>AL</t>
  </si>
  <si>
    <t>AK</t>
  </si>
  <si>
    <t>AZ</t>
  </si>
  <si>
    <t>AR</t>
  </si>
  <si>
    <t>CA</t>
  </si>
  <si>
    <t>Colorado</t>
  </si>
  <si>
    <t>CO</t>
  </si>
  <si>
    <t>CT</t>
  </si>
  <si>
    <t>DE</t>
  </si>
  <si>
    <t>DC</t>
  </si>
  <si>
    <t>Federa Offshore, Pacific</t>
  </si>
  <si>
    <t>X5</t>
  </si>
  <si>
    <t>Federal Offshore, Gulf of Mexico</t>
  </si>
  <si>
    <t>X3</t>
  </si>
  <si>
    <t>FL</t>
  </si>
  <si>
    <t>GA</t>
  </si>
  <si>
    <t>HI</t>
  </si>
  <si>
    <t>ID</t>
  </si>
  <si>
    <t>IL</t>
  </si>
  <si>
    <t>IN</t>
  </si>
  <si>
    <t>IA</t>
  </si>
  <si>
    <t>KS</t>
  </si>
  <si>
    <t>KY</t>
  </si>
  <si>
    <t>LA</t>
  </si>
  <si>
    <t>ME</t>
  </si>
  <si>
    <t>MD</t>
  </si>
  <si>
    <t>Massachusetts</t>
  </si>
  <si>
    <t>MA</t>
  </si>
  <si>
    <t>MI</t>
  </si>
  <si>
    <t>MN</t>
  </si>
  <si>
    <t>MS</t>
  </si>
  <si>
    <t>MO</t>
  </si>
  <si>
    <t>MT</t>
  </si>
  <si>
    <t>NE</t>
  </si>
  <si>
    <t>NV</t>
  </si>
  <si>
    <t>NH</t>
  </si>
  <si>
    <t>NJ</t>
  </si>
  <si>
    <t>NM</t>
  </si>
  <si>
    <t>New York</t>
  </si>
  <si>
    <t>NY</t>
  </si>
  <si>
    <t>NC</t>
  </si>
  <si>
    <t>ND</t>
  </si>
  <si>
    <t>OH</t>
  </si>
  <si>
    <t>OK</t>
  </si>
  <si>
    <t>Oregon</t>
  </si>
  <si>
    <t>OR</t>
  </si>
  <si>
    <t>PA</t>
  </si>
  <si>
    <t>RI</t>
  </si>
  <si>
    <t>SC</t>
  </si>
  <si>
    <t>SD</t>
  </si>
  <si>
    <t>TN</t>
  </si>
  <si>
    <t>TX</t>
  </si>
  <si>
    <t>United States</t>
  </si>
  <si>
    <t>US</t>
  </si>
  <si>
    <t>UT</t>
  </si>
  <si>
    <t>VT</t>
  </si>
  <si>
    <t>VA</t>
  </si>
  <si>
    <t>WA</t>
  </si>
  <si>
    <t>WV</t>
  </si>
  <si>
    <t>WI</t>
  </si>
  <si>
    <t>WY</t>
  </si>
  <si>
    <t>Check: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</si>
</sst>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_(* #,##0_);_(* \(#,##0\);_ &quot; -&quot;"/>
    <numFmt numFmtId="165" formatCode="_(* #,##0_);_(* \(#,##0\);_(* &quot;-&quot;??_);_(@_)"/>
    <numFmt numFmtId="166" formatCode="0.0%"/>
  </numFmts>
  <fonts count="13">
    <font>
      <sz val="11"/>
      <color theme="1"/>
      <name val="Calibri"/>
      <family val="2"/>
      <scheme val="minor"/>
    </font>
    <font>
      <sz val="6"/>
      <name val="P-AVGARD"/>
    </font>
    <font>
      <sz val="11"/>
      <color theme="1"/>
      <name val="Calibri"/>
      <family val="2"/>
      <scheme val="minor"/>
    </font>
    <font>
      <b/>
      <sz val="6"/>
      <name val="Arial"/>
      <family val="2"/>
    </font>
    <font>
      <sz val="6"/>
      <name val="Arial"/>
      <family val="2"/>
    </font>
    <font>
      <sz val="6"/>
      <color theme="1"/>
      <name val="Arial"/>
      <family val="2"/>
    </font>
    <font>
      <sz val="5"/>
      <color rgb="FF000000"/>
      <name val="Arial"/>
      <family val="2"/>
    </font>
    <font>
      <sz val="5"/>
      <name val="Arial"/>
      <family val="2"/>
    </font>
    <font>
      <sz val="10"/>
      <name val="Arial"/>
      <family val="2"/>
    </font>
    <font>
      <b/>
      <sz val="18"/>
      <name val="Arial"/>
      <family val="2"/>
    </font>
    <font>
      <u/>
      <sz val="10"/>
      <color indexed="12"/>
      <name val="Arial"/>
      <family val="2"/>
    </font>
    <font>
      <b/>
      <sz val="16"/>
      <name val="Arial"/>
      <family val="2"/>
    </font>
    <font>
      <b/>
      <sz val="12"/>
      <name val="Arial"/>
      <family val="2"/>
    </font>
  </fonts>
  <fills count="5">
    <fill>
      <patternFill patternType="none"/>
    </fill>
    <fill>
      <patternFill patternType="gray125"/>
    </fill>
    <fill>
      <patternFill patternType="solid">
        <fgColor rgb="FFFFFFFF"/>
        <bgColor rgb="FF000000"/>
      </patternFill>
    </fill>
    <fill>
      <patternFill patternType="solid">
        <fgColor indexed="9"/>
        <bgColor indexed="64"/>
      </patternFill>
    </fill>
    <fill>
      <patternFill patternType="solid">
        <fgColor indexed="9"/>
        <bgColor indexed="22"/>
      </patternFill>
    </fill>
  </fills>
  <borders count="18">
    <border>
      <left/>
      <right/>
      <top/>
      <bottom/>
      <diagonal/>
    </border>
    <border>
      <left/>
      <right/>
      <top style="thick">
        <color indexed="64"/>
      </top>
      <bottom style="thin">
        <color indexed="64"/>
      </bottom>
      <diagonal/>
    </border>
    <border>
      <left style="thin">
        <color indexed="64"/>
      </left>
      <right/>
      <top style="thick">
        <color indexed="64"/>
      </top>
      <bottom style="thin">
        <color indexed="64"/>
      </bottom>
      <diagonal/>
    </border>
    <border>
      <left/>
      <right style="thin">
        <color indexed="64"/>
      </right>
      <top style="thick">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style="thick">
        <color indexed="64"/>
      </top>
      <bottom style="thin">
        <color indexed="64"/>
      </bottom>
      <diagonal/>
    </border>
    <border>
      <left/>
      <right/>
      <top style="medium">
        <color indexed="64"/>
      </top>
      <bottom/>
      <diagonal/>
    </border>
    <border>
      <left/>
      <right style="thick">
        <color indexed="64"/>
      </right>
      <top style="thick">
        <color indexed="64"/>
      </top>
      <bottom style="medium">
        <color indexed="64"/>
      </bottom>
      <diagonal/>
    </border>
    <border>
      <left style="thick">
        <color indexed="64"/>
      </left>
      <right/>
      <top style="thick">
        <color indexed="64"/>
      </top>
      <bottom style="medium">
        <color indexed="64"/>
      </bottom>
      <diagonal/>
    </border>
    <border>
      <left/>
      <right style="thick">
        <color indexed="64"/>
      </right>
      <top/>
      <bottom/>
      <diagonal/>
    </border>
    <border>
      <left style="thick">
        <color indexed="64"/>
      </left>
      <right/>
      <top/>
      <bottom/>
      <diagonal/>
    </border>
    <border>
      <left/>
      <right style="thick">
        <color indexed="64"/>
      </right>
      <top/>
      <bottom style="dotted">
        <color indexed="64"/>
      </bottom>
      <diagonal/>
    </border>
    <border>
      <left style="thick">
        <color indexed="64"/>
      </left>
      <right/>
      <top/>
      <bottom style="dotted">
        <color indexed="64"/>
      </bottom>
      <diagonal/>
    </border>
    <border>
      <left/>
      <right style="thick">
        <color indexed="64"/>
      </right>
      <top/>
      <bottom style="thick">
        <color indexed="64"/>
      </bottom>
      <diagonal/>
    </border>
    <border>
      <left style="thick">
        <color indexed="64"/>
      </left>
      <right/>
      <top/>
      <bottom style="thick">
        <color indexed="64"/>
      </bottom>
      <diagonal/>
    </border>
  </borders>
  <cellStyleXfs count="6">
    <xf numFmtId="0" fontId="0" fillId="0" borderId="0"/>
    <xf numFmtId="0" fontId="1" fillId="0" borderId="0"/>
    <xf numFmtId="43" fontId="2" fillId="0" borderId="0" applyFont="0" applyFill="0" applyBorder="0" applyAlignment="0" applyProtection="0"/>
    <xf numFmtId="0" fontId="8" fillId="0" borderId="0"/>
    <xf numFmtId="0" fontId="10" fillId="0" borderId="0" applyNumberFormat="0" applyFill="0" applyBorder="0" applyAlignment="0" applyProtection="0">
      <alignment vertical="top"/>
      <protection locked="0"/>
    </xf>
    <xf numFmtId="9" fontId="2" fillId="0" borderId="0" applyFont="0" applyFill="0" applyBorder="0" applyAlignment="0" applyProtection="0"/>
  </cellStyleXfs>
  <cellXfs count="73">
    <xf numFmtId="0" fontId="0" fillId="0" borderId="0" xfId="0"/>
    <xf numFmtId="0" fontId="1" fillId="0" borderId="0" xfId="0" applyFont="1" applyFill="1" applyBorder="1"/>
    <xf numFmtId="0" fontId="3" fillId="0" borderId="1" xfId="0" applyFont="1" applyFill="1" applyBorder="1" applyAlignment="1" applyProtection="1">
      <alignment horizontal="center" vertical="center"/>
    </xf>
    <xf numFmtId="0" fontId="4" fillId="3" borderId="0" xfId="0" applyFont="1" applyFill="1" applyAlignment="1" applyProtection="1">
      <alignment horizontal="centerContinuous" vertical="center"/>
    </xf>
    <xf numFmtId="0" fontId="4" fillId="3" borderId="0" xfId="0" quotePrefix="1" applyFont="1" applyFill="1" applyBorder="1" applyAlignment="1" applyProtection="1">
      <alignment horizontal="left" vertical="center"/>
    </xf>
    <xf numFmtId="0" fontId="4" fillId="3" borderId="0" xfId="0" applyFont="1" applyFill="1" applyBorder="1" applyAlignment="1" applyProtection="1">
      <alignment vertical="center"/>
    </xf>
    <xf numFmtId="0" fontId="3" fillId="0" borderId="2" xfId="0" applyFont="1" applyFill="1" applyBorder="1" applyAlignment="1" applyProtection="1">
      <alignment horizontal="center" vertical="center"/>
    </xf>
    <xf numFmtId="0" fontId="3" fillId="0" borderId="3" xfId="0" applyFont="1" applyFill="1" applyBorder="1" applyAlignment="1" applyProtection="1">
      <alignment horizontal="center" vertical="center"/>
    </xf>
    <xf numFmtId="0" fontId="3" fillId="0" borderId="4" xfId="0" applyFont="1" applyFill="1" applyBorder="1" applyProtection="1"/>
    <xf numFmtId="37" fontId="4" fillId="0" borderId="4" xfId="0" applyNumberFormat="1" applyFont="1" applyFill="1" applyBorder="1" applyProtection="1"/>
    <xf numFmtId="164" fontId="4" fillId="0" borderId="4" xfId="0" applyNumberFormat="1" applyFont="1" applyFill="1" applyBorder="1" applyAlignment="1" applyProtection="1">
      <alignment horizontal="center"/>
    </xf>
    <xf numFmtId="164" fontId="4" fillId="0" borderId="4" xfId="0" applyNumberFormat="1" applyFont="1" applyFill="1" applyBorder="1" applyAlignment="1" applyProtection="1">
      <alignment horizontal="center" vertical="center"/>
    </xf>
    <xf numFmtId="164" fontId="4" fillId="2" borderId="4" xfId="0" applyNumberFormat="1" applyFont="1" applyFill="1" applyBorder="1" applyAlignment="1" applyProtection="1">
      <alignment horizontal="center" vertical="center"/>
    </xf>
    <xf numFmtId="164" fontId="5" fillId="0" borderId="4" xfId="0" applyNumberFormat="1" applyFont="1" applyBorder="1"/>
    <xf numFmtId="164" fontId="4" fillId="3" borderId="4" xfId="0" applyNumberFormat="1" applyFont="1" applyFill="1" applyBorder="1" applyAlignment="1" applyProtection="1">
      <alignment horizontal="center" vertical="center"/>
    </xf>
    <xf numFmtId="165" fontId="5" fillId="0" borderId="4" xfId="2" applyNumberFormat="1" applyFont="1" applyBorder="1"/>
    <xf numFmtId="0" fontId="3" fillId="0" borderId="5" xfId="0" applyFont="1" applyFill="1" applyBorder="1" applyProtection="1"/>
    <xf numFmtId="37" fontId="4" fillId="0" borderId="5" xfId="0" applyNumberFormat="1" applyFont="1" applyFill="1" applyBorder="1" applyProtection="1"/>
    <xf numFmtId="164" fontId="4" fillId="0" borderId="5" xfId="0" applyNumberFormat="1" applyFont="1" applyFill="1" applyBorder="1" applyAlignment="1" applyProtection="1">
      <alignment horizontal="center"/>
    </xf>
    <xf numFmtId="164" fontId="4" fillId="0" borderId="5" xfId="0" applyNumberFormat="1" applyFont="1" applyFill="1" applyBorder="1" applyAlignment="1" applyProtection="1">
      <alignment horizontal="center" vertical="center"/>
    </xf>
    <xf numFmtId="164" fontId="4" fillId="2" borderId="5" xfId="0" applyNumberFormat="1" applyFont="1" applyFill="1" applyBorder="1" applyAlignment="1" applyProtection="1">
      <alignment horizontal="center" vertical="center"/>
    </xf>
    <xf numFmtId="164" fontId="5" fillId="0" borderId="5" xfId="0" applyNumberFormat="1" applyFont="1" applyBorder="1"/>
    <xf numFmtId="164" fontId="4" fillId="3" borderId="5" xfId="0" applyNumberFormat="1" applyFont="1" applyFill="1" applyBorder="1" applyAlignment="1" applyProtection="1">
      <alignment horizontal="center" vertical="center"/>
    </xf>
    <xf numFmtId="165" fontId="5" fillId="0" borderId="5" xfId="2" applyNumberFormat="1" applyFont="1" applyBorder="1"/>
    <xf numFmtId="37" fontId="4" fillId="0" borderId="5" xfId="0" applyNumberFormat="1" applyFont="1" applyFill="1" applyBorder="1" applyAlignment="1" applyProtection="1">
      <alignment horizontal="right"/>
    </xf>
    <xf numFmtId="37" fontId="4" fillId="0" borderId="5" xfId="0" applyNumberFormat="1" applyFont="1" applyFill="1" applyBorder="1" applyAlignment="1" applyProtection="1">
      <alignment vertical="top"/>
    </xf>
    <xf numFmtId="0" fontId="3" fillId="0" borderId="6" xfId="0" applyFont="1" applyFill="1" applyBorder="1" applyProtection="1"/>
    <xf numFmtId="37" fontId="4" fillId="0" borderId="6" xfId="0" applyNumberFormat="1" applyFont="1" applyFill="1" applyBorder="1" applyProtection="1"/>
    <xf numFmtId="164" fontId="4" fillId="0" borderId="6" xfId="0" applyNumberFormat="1" applyFont="1" applyFill="1" applyBorder="1" applyAlignment="1" applyProtection="1">
      <alignment horizontal="center"/>
    </xf>
    <xf numFmtId="164" fontId="4" fillId="0" borderId="6" xfId="0" applyNumberFormat="1" applyFont="1" applyFill="1" applyBorder="1" applyAlignment="1" applyProtection="1">
      <alignment horizontal="center" vertical="center"/>
    </xf>
    <xf numFmtId="164" fontId="4" fillId="2" borderId="6" xfId="0" applyNumberFormat="1" applyFont="1" applyFill="1" applyBorder="1" applyAlignment="1" applyProtection="1">
      <alignment horizontal="center" vertical="center"/>
    </xf>
    <xf numFmtId="164" fontId="5" fillId="0" borderId="6" xfId="0" applyNumberFormat="1" applyFont="1" applyBorder="1"/>
    <xf numFmtId="164" fontId="4" fillId="3" borderId="6" xfId="0" applyNumberFormat="1" applyFont="1" applyFill="1" applyBorder="1" applyAlignment="1" applyProtection="1">
      <alignment horizontal="center" vertical="center"/>
    </xf>
    <xf numFmtId="165" fontId="5" fillId="0" borderId="6" xfId="2" applyNumberFormat="1" applyFont="1" applyBorder="1"/>
    <xf numFmtId="0" fontId="3" fillId="0" borderId="7" xfId="0" applyFont="1" applyFill="1" applyBorder="1" applyAlignment="1" applyProtection="1">
      <alignment vertical="center"/>
    </xf>
    <xf numFmtId="0" fontId="3" fillId="0" borderId="8" xfId="0" applyFont="1" applyFill="1" applyBorder="1" applyAlignment="1" applyProtection="1">
      <alignment horizontal="center" vertical="center"/>
    </xf>
    <xf numFmtId="37" fontId="5" fillId="0" borderId="4" xfId="2" applyNumberFormat="1" applyFont="1" applyBorder="1"/>
    <xf numFmtId="37" fontId="5" fillId="0" borderId="5" xfId="2" applyNumberFormat="1" applyFont="1" applyBorder="1"/>
    <xf numFmtId="37" fontId="5" fillId="0" borderId="6" xfId="2" applyNumberFormat="1" applyFont="1" applyBorder="1"/>
    <xf numFmtId="164" fontId="5" fillId="0" borderId="4" xfId="2" applyNumberFormat="1" applyFont="1" applyBorder="1"/>
    <xf numFmtId="164" fontId="5" fillId="0" borderId="5" xfId="2" applyNumberFormat="1" applyFont="1" applyBorder="1"/>
    <xf numFmtId="164" fontId="5" fillId="0" borderId="6" xfId="2" applyNumberFormat="1" applyFont="1" applyBorder="1"/>
    <xf numFmtId="37" fontId="4" fillId="0" borderId="7" xfId="0" applyNumberFormat="1" applyFont="1" applyFill="1" applyBorder="1" applyAlignment="1" applyProtection="1">
      <alignment vertical="center"/>
    </xf>
    <xf numFmtId="37" fontId="5" fillId="0" borderId="7" xfId="0" applyNumberFormat="1" applyFont="1" applyBorder="1" applyAlignment="1">
      <alignment vertical="center"/>
    </xf>
    <xf numFmtId="164" fontId="5" fillId="0" borderId="7" xfId="0" applyNumberFormat="1" applyFont="1" applyBorder="1" applyAlignment="1">
      <alignment vertical="center"/>
    </xf>
    <xf numFmtId="43" fontId="5" fillId="0" borderId="7" xfId="2" applyFont="1" applyBorder="1" applyAlignment="1">
      <alignment vertical="center"/>
    </xf>
    <xf numFmtId="37" fontId="5" fillId="0" borderId="7" xfId="2" applyNumberFormat="1" applyFont="1" applyBorder="1" applyAlignment="1">
      <alignment vertical="center"/>
    </xf>
    <xf numFmtId="165" fontId="5" fillId="0" borderId="7" xfId="2" applyNumberFormat="1" applyFont="1" applyBorder="1" applyAlignment="1">
      <alignment vertical="center"/>
    </xf>
    <xf numFmtId="164" fontId="5" fillId="0" borderId="7" xfId="2" applyNumberFormat="1" applyFont="1" applyBorder="1" applyAlignment="1">
      <alignment vertical="center"/>
    </xf>
    <xf numFmtId="0" fontId="0" fillId="0" borderId="0" xfId="0" applyAlignment="1">
      <alignment horizontal="center"/>
    </xf>
    <xf numFmtId="3" fontId="4" fillId="0" borderId="4" xfId="0" applyNumberFormat="1" applyFont="1" applyFill="1" applyBorder="1" applyAlignment="1">
      <alignment vertical="center"/>
    </xf>
    <xf numFmtId="3" fontId="4" fillId="0" borderId="5" xfId="0" applyNumberFormat="1" applyFont="1" applyFill="1" applyBorder="1" applyAlignment="1">
      <alignment vertical="center"/>
    </xf>
    <xf numFmtId="3" fontId="4" fillId="0" borderId="6" xfId="0" applyNumberFormat="1" applyFont="1" applyFill="1" applyBorder="1" applyAlignment="1">
      <alignment vertical="center"/>
    </xf>
    <xf numFmtId="0" fontId="4" fillId="0" borderId="5" xfId="0" applyFont="1" applyFill="1" applyBorder="1" applyAlignment="1">
      <alignment vertical="center"/>
    </xf>
    <xf numFmtId="0" fontId="8" fillId="3" borderId="0" xfId="3" applyFill="1" applyAlignment="1">
      <alignment vertical="top"/>
    </xf>
    <xf numFmtId="0" fontId="9" fillId="3" borderId="0" xfId="3" applyFont="1" applyFill="1"/>
    <xf numFmtId="0" fontId="10" fillId="3" borderId="0" xfId="4" applyFill="1" applyAlignment="1" applyProtection="1">
      <alignment vertical="center"/>
    </xf>
    <xf numFmtId="0" fontId="11" fillId="4" borderId="0" xfId="3" applyFont="1" applyFill="1"/>
    <xf numFmtId="0" fontId="12" fillId="3" borderId="10" xfId="3" applyFont="1" applyFill="1" applyBorder="1"/>
    <xf numFmtId="0" fontId="12" fillId="3" borderId="11" xfId="3" applyFont="1" applyFill="1" applyBorder="1"/>
    <xf numFmtId="0" fontId="8" fillId="3" borderId="12" xfId="3" applyFill="1" applyBorder="1" applyAlignment="1">
      <alignment vertical="top" wrapText="1"/>
    </xf>
    <xf numFmtId="0" fontId="8" fillId="3" borderId="13" xfId="3" applyFill="1" applyBorder="1" applyAlignment="1">
      <alignment vertical="top"/>
    </xf>
    <xf numFmtId="0" fontId="8" fillId="3" borderId="14" xfId="3" applyFill="1" applyBorder="1" applyAlignment="1">
      <alignment vertical="top" wrapText="1"/>
    </xf>
    <xf numFmtId="0" fontId="8" fillId="3" borderId="15" xfId="3" applyFill="1" applyBorder="1" applyAlignment="1">
      <alignment vertical="top"/>
    </xf>
    <xf numFmtId="0" fontId="8" fillId="3" borderId="16" xfId="3" applyFill="1" applyBorder="1" applyAlignment="1">
      <alignment vertical="top" wrapText="1"/>
    </xf>
    <xf numFmtId="0" fontId="8" fillId="3" borderId="17" xfId="3" applyFill="1" applyBorder="1" applyAlignment="1">
      <alignment vertical="top"/>
    </xf>
    <xf numFmtId="0" fontId="8" fillId="3" borderId="0" xfId="3" applyFill="1" applyAlignment="1">
      <alignment vertical="top" wrapText="1"/>
    </xf>
    <xf numFmtId="0" fontId="0" fillId="0" borderId="0" xfId="0" applyAlignment="1">
      <alignment horizontal="right"/>
    </xf>
    <xf numFmtId="2" fontId="0" fillId="0" borderId="0" xfId="0" applyNumberFormat="1"/>
    <xf numFmtId="166" fontId="0" fillId="0" borderId="0" xfId="5" applyNumberFormat="1" applyFont="1"/>
    <xf numFmtId="0" fontId="7" fillId="3" borderId="9" xfId="0" quotePrefix="1" applyFont="1" applyFill="1" applyBorder="1" applyAlignment="1" applyProtection="1">
      <alignment horizontal="left" vertical="center" wrapText="1"/>
    </xf>
    <xf numFmtId="0" fontId="6" fillId="0" borderId="0" xfId="0" applyNumberFormat="1" applyFont="1" applyFill="1" applyBorder="1" applyAlignment="1">
      <alignment horizontal="left" wrapText="1"/>
    </xf>
    <xf numFmtId="0" fontId="8" fillId="0" borderId="0" xfId="3"/>
  </cellXfs>
  <cellStyles count="6">
    <cellStyle name="Comma" xfId="2" builtinId="3"/>
    <cellStyle name="Hyperlink" xfId="4" builtinId="8"/>
    <cellStyle name="Normal" xfId="0" builtinId="0"/>
    <cellStyle name="Normal 2" xfId="1" xr:uid="{00000000-0005-0000-0000-000002000000}"/>
    <cellStyle name="Normal 2 2" xfId="3" xr:uid="{BB5E26F5-992A-49B9-9244-B19C947E2BC4}"/>
    <cellStyle name="Percent" xfId="5"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ECE001-9F02-4FD4-AF21-5010488AFC4F}">
  <dimension ref="A1:AH108"/>
  <sheetViews>
    <sheetView tabSelected="1" topLeftCell="G70" workbookViewId="0">
      <selection activeCell="C57" sqref="C57:AH107"/>
    </sheetView>
  </sheetViews>
  <sheetFormatPr defaultRowHeight="14.5"/>
  <cols>
    <col min="1" max="1" width="17.81640625" bestFit="1" customWidth="1"/>
    <col min="2" max="2" width="3.90625" bestFit="1" customWidth="1"/>
  </cols>
  <sheetData>
    <row r="1" spans="1:34">
      <c r="C1">
        <v>43</v>
      </c>
      <c r="D1">
        <v>44</v>
      </c>
      <c r="E1">
        <v>45</v>
      </c>
      <c r="F1">
        <v>46</v>
      </c>
      <c r="G1">
        <v>47</v>
      </c>
      <c r="H1">
        <v>48</v>
      </c>
      <c r="I1">
        <v>49</v>
      </c>
      <c r="J1">
        <v>50</v>
      </c>
      <c r="K1">
        <v>51</v>
      </c>
      <c r="L1">
        <v>52</v>
      </c>
      <c r="M1">
        <v>53</v>
      </c>
      <c r="N1">
        <v>54</v>
      </c>
      <c r="O1">
        <v>55</v>
      </c>
      <c r="P1">
        <v>56</v>
      </c>
      <c r="Q1">
        <v>57</v>
      </c>
      <c r="R1">
        <v>58</v>
      </c>
      <c r="S1">
        <v>59</v>
      </c>
      <c r="T1">
        <v>60</v>
      </c>
      <c r="U1">
        <v>61</v>
      </c>
      <c r="V1">
        <v>62</v>
      </c>
      <c r="W1">
        <v>63</v>
      </c>
      <c r="X1">
        <v>64</v>
      </c>
      <c r="Y1">
        <v>65</v>
      </c>
      <c r="Z1">
        <v>66</v>
      </c>
      <c r="AA1">
        <v>67</v>
      </c>
      <c r="AB1">
        <v>68</v>
      </c>
      <c r="AC1">
        <v>69</v>
      </c>
      <c r="AD1">
        <v>70</v>
      </c>
      <c r="AE1">
        <v>71</v>
      </c>
      <c r="AF1">
        <v>72</v>
      </c>
      <c r="AG1">
        <v>73</v>
      </c>
      <c r="AH1">
        <v>74</v>
      </c>
    </row>
    <row r="2" spans="1:34">
      <c r="A2" t="s">
        <v>0</v>
      </c>
      <c r="C2">
        <v>1990</v>
      </c>
      <c r="D2">
        <v>1991</v>
      </c>
      <c r="E2">
        <v>1992</v>
      </c>
      <c r="F2">
        <v>1993</v>
      </c>
      <c r="G2">
        <v>1994</v>
      </c>
      <c r="H2">
        <v>1995</v>
      </c>
      <c r="I2">
        <v>1996</v>
      </c>
      <c r="J2">
        <v>1997</v>
      </c>
      <c r="K2">
        <v>1998</v>
      </c>
      <c r="L2">
        <v>1999</v>
      </c>
      <c r="M2">
        <v>2000</v>
      </c>
      <c r="N2">
        <v>2001</v>
      </c>
      <c r="O2">
        <v>2002</v>
      </c>
      <c r="P2">
        <v>2003</v>
      </c>
      <c r="Q2">
        <v>2004</v>
      </c>
      <c r="R2">
        <v>2005</v>
      </c>
      <c r="S2">
        <v>2006</v>
      </c>
      <c r="T2">
        <v>2007</v>
      </c>
      <c r="U2">
        <v>2008</v>
      </c>
      <c r="V2">
        <v>2009</v>
      </c>
      <c r="W2">
        <v>2010</v>
      </c>
      <c r="X2">
        <v>2011</v>
      </c>
      <c r="Y2">
        <v>2012</v>
      </c>
      <c r="Z2">
        <v>2013</v>
      </c>
      <c r="AA2">
        <v>2014</v>
      </c>
      <c r="AB2">
        <v>2015</v>
      </c>
      <c r="AC2">
        <v>2016</v>
      </c>
      <c r="AD2">
        <v>2017</v>
      </c>
      <c r="AE2">
        <v>2018</v>
      </c>
      <c r="AF2">
        <v>2019</v>
      </c>
      <c r="AG2">
        <v>2020</v>
      </c>
      <c r="AH2">
        <v>2021</v>
      </c>
    </row>
    <row r="3" spans="1:34">
      <c r="A3" t="s">
        <v>1</v>
      </c>
      <c r="B3" t="str">
        <f>VLOOKUP(A3,'State Codes'!$C$10:$D$63,2,FALSE)</f>
        <v>AL</v>
      </c>
      <c r="C3">
        <f>VLOOKUP($A3,'MF-225'!$A$2:$BV$53,C$1,FALSE)</f>
        <v>571091</v>
      </c>
      <c r="D3">
        <f>VLOOKUP($A3,'MF-225'!$A$2:$BV$53,D$1,FALSE)</f>
        <v>554649</v>
      </c>
      <c r="E3">
        <f>VLOOKUP($A3,'MF-225'!$A$2:$BV$53,E$1,FALSE)</f>
        <v>551926</v>
      </c>
      <c r="F3">
        <f>VLOOKUP($A3,'MF-225'!$A$2:$BV$53,F$1,FALSE)</f>
        <v>587390</v>
      </c>
      <c r="G3">
        <f>VLOOKUP($A3,'MF-225'!$A$2:$BV$53,G$1,FALSE)</f>
        <v>659025</v>
      </c>
      <c r="H3">
        <f>VLOOKUP($A3,'MF-225'!$A$2:$BV$53,H$1,FALSE)</f>
        <v>696427</v>
      </c>
      <c r="I3">
        <f>VLOOKUP($A3,'MF-225'!$A$2:$BV$53,I$1,FALSE)</f>
        <v>650666</v>
      </c>
      <c r="J3">
        <f>VLOOKUP($A3,'MF-225'!$A$2:$BV$53,J$1,FALSE)</f>
        <v>659865</v>
      </c>
      <c r="K3">
        <f>VLOOKUP($A3,'MF-225'!$A$2:$BV$53,K$1,FALSE)</f>
        <v>705978</v>
      </c>
      <c r="L3">
        <f>VLOOKUP($A3,'MF-225'!$A$2:$BV$53,L$1,FALSE)</f>
        <v>745713</v>
      </c>
      <c r="M3">
        <f>VLOOKUP($A3,'MF-225'!$A$2:$BV$53,M$1,FALSE)</f>
        <v>769752</v>
      </c>
      <c r="N3">
        <f>VLOOKUP($A3,'MF-225'!$A$2:$BV$53,N$1,FALSE)</f>
        <v>683396</v>
      </c>
      <c r="O3">
        <f>VLOOKUP($A3,'MF-225'!$A$2:$BV$53,O$1,FALSE)</f>
        <v>672948</v>
      </c>
      <c r="P3">
        <f>VLOOKUP($A3,'MF-225'!$A$2:$BV$53,P$1,FALSE)</f>
        <v>734983</v>
      </c>
      <c r="Q3">
        <f>VLOOKUP($A3,'MF-225'!$A$2:$BV$53,Q$1,FALSE)</f>
        <v>790734</v>
      </c>
      <c r="R3">
        <f>VLOOKUP($A3,'MF-225'!$A$2:$BV$53,R$1,FALSE)</f>
        <v>814696</v>
      </c>
      <c r="S3">
        <f>VLOOKUP($A3,'MF-225'!$A$2:$BV$53,S$1,FALSE)</f>
        <v>824496</v>
      </c>
      <c r="T3">
        <f>VLOOKUP($A3,'MF-225'!$A$2:$BV$53,T$1,FALSE)</f>
        <v>882000</v>
      </c>
      <c r="U3">
        <f>VLOOKUP($A3,'MF-225'!$A$2:$BV$53,U$1,FALSE)</f>
        <v>774380.59299999988</v>
      </c>
      <c r="V3">
        <f>VLOOKUP($A3,'MF-225'!$A$2:$BV$53,V$1,FALSE)</f>
        <v>687818.37899999996</v>
      </c>
      <c r="W3">
        <f>VLOOKUP($A3,'MF-225'!$A$2:$BV$53,W$1,FALSE)</f>
        <v>746135.58100000001</v>
      </c>
      <c r="X3">
        <f>VLOOKUP($A3,'MF-225'!$A$2:$BV$53,X$1,FALSE)</f>
        <v>748448.65600000008</v>
      </c>
      <c r="Y3">
        <f>VLOOKUP($A3,'MF-225'!$A$2:$BV$53,Y$1,FALSE)</f>
        <v>730942.45299999998</v>
      </c>
      <c r="Z3">
        <f>VLOOKUP($A3,'MF-225'!$A$2:$BV$53,Z$1,FALSE)</f>
        <v>736632</v>
      </c>
      <c r="AA3">
        <f>VLOOKUP($A3,'MF-225'!$A$2:$BV$53,AA$1,FALSE)</f>
        <v>779280</v>
      </c>
      <c r="AB3">
        <f>VLOOKUP($A3,'MF-225'!$A$2:$BV$53,AB$1,FALSE)</f>
        <v>828453</v>
      </c>
      <c r="AC3">
        <f>VLOOKUP($A3,'MF-225'!$A$2:$BV$53,AC$1,FALSE)</f>
        <v>963803</v>
      </c>
      <c r="AD3">
        <f>VLOOKUP($A3,'MF-225'!$A$2:$BV$53,AD$1,FALSE)</f>
        <v>891595</v>
      </c>
      <c r="AE3">
        <f>VLOOKUP($A3,'MF-225'!$A$2:$BV$53,AE$1,FALSE)</f>
        <v>859500</v>
      </c>
      <c r="AF3">
        <f>VLOOKUP($A3,'MF-225'!$A$2:$BV$53,AF$1,FALSE)</f>
        <v>874206</v>
      </c>
      <c r="AG3">
        <f>VLOOKUP($A3,'MF-225'!$A$2:$BV$53,AG$1,FALSE)</f>
        <v>863691</v>
      </c>
      <c r="AH3">
        <f>VLOOKUP($A3,'MF-225'!$A$2:$BV$53,AH$1,FALSE)</f>
        <v>990396</v>
      </c>
    </row>
    <row r="4" spans="1:34">
      <c r="A4" t="s">
        <v>2</v>
      </c>
      <c r="B4" t="str">
        <f>VLOOKUP(A4,'State Codes'!$C$10:$D$63,2,FALSE)</f>
        <v>AK</v>
      </c>
      <c r="C4">
        <f>VLOOKUP($A4,'MF-225'!$A$2:$BV$53,C$1,FALSE)</f>
        <v>83524</v>
      </c>
      <c r="D4">
        <f>VLOOKUP($A4,'MF-225'!$A$2:$BV$53,D$1,FALSE)</f>
        <v>40077</v>
      </c>
      <c r="E4">
        <f>VLOOKUP($A4,'MF-225'!$A$2:$BV$53,E$1,FALSE)</f>
        <v>49869</v>
      </c>
      <c r="F4">
        <f>VLOOKUP($A4,'MF-225'!$A$2:$BV$53,F$1,FALSE)</f>
        <v>116570</v>
      </c>
      <c r="G4">
        <f>VLOOKUP($A4,'MF-225'!$A$2:$BV$53,G$1,FALSE)</f>
        <v>30422</v>
      </c>
      <c r="H4">
        <f>VLOOKUP($A4,'MF-225'!$A$2:$BV$53,H$1,FALSE)</f>
        <v>79862</v>
      </c>
      <c r="I4">
        <f>VLOOKUP($A4,'MF-225'!$A$2:$BV$53,I$1,FALSE)</f>
        <v>67938</v>
      </c>
      <c r="J4">
        <f>VLOOKUP($A4,'MF-225'!$A$2:$BV$53,J$1,FALSE)</f>
        <v>48374</v>
      </c>
      <c r="K4">
        <f>VLOOKUP($A4,'MF-225'!$A$2:$BV$53,K$1,FALSE)</f>
        <v>68962</v>
      </c>
      <c r="L4">
        <f>VLOOKUP($A4,'MF-225'!$A$2:$BV$53,L$1,FALSE)</f>
        <v>75400</v>
      </c>
      <c r="M4">
        <f>VLOOKUP($A4,'MF-225'!$A$2:$BV$53,M$1,FALSE)</f>
        <v>91355</v>
      </c>
      <c r="N4">
        <f>VLOOKUP($A4,'MF-225'!$A$2:$BV$53,N$1,FALSE)</f>
        <v>111937</v>
      </c>
      <c r="O4">
        <f>VLOOKUP($A4,'MF-225'!$A$2:$BV$53,O$1,FALSE)</f>
        <v>109586</v>
      </c>
      <c r="P4">
        <f>VLOOKUP($A4,'MF-225'!$A$2:$BV$53,P$1,FALSE)</f>
        <v>92339</v>
      </c>
      <c r="Q4">
        <f>VLOOKUP($A4,'MF-225'!$A$2:$BV$53,Q$1,FALSE)</f>
        <v>209733</v>
      </c>
      <c r="R4">
        <f>VLOOKUP($A4,'MF-225'!$A$2:$BV$53,R$1,FALSE)</f>
        <v>230835</v>
      </c>
      <c r="S4">
        <f>VLOOKUP($A4,'MF-225'!$A$2:$BV$53,S$1,FALSE)</f>
        <v>237222</v>
      </c>
      <c r="T4">
        <f>VLOOKUP($A4,'MF-225'!$A$2:$BV$53,T$1,FALSE)</f>
        <v>238428</v>
      </c>
      <c r="U4">
        <f>VLOOKUP($A4,'MF-225'!$A$2:$BV$53,U$1,FALSE)</f>
        <v>244815.89</v>
      </c>
      <c r="V4">
        <f>VLOOKUP($A4,'MF-225'!$A$2:$BV$53,V$1,FALSE)</f>
        <v>267142.027</v>
      </c>
      <c r="W4">
        <f>VLOOKUP($A4,'MF-225'!$A$2:$BV$53,W$1,FALSE)</f>
        <v>211545.30500000002</v>
      </c>
      <c r="X4">
        <f>VLOOKUP($A4,'MF-225'!$A$2:$BV$53,X$1,FALSE)</f>
        <v>142358.66499999998</v>
      </c>
      <c r="Y4">
        <f>VLOOKUP($A4,'MF-225'!$A$2:$BV$53,Y$1,FALSE)</f>
        <v>155848.32600000003</v>
      </c>
      <c r="Z4">
        <f>VLOOKUP($A4,'MF-225'!$A$2:$BV$53,Z$1,FALSE)</f>
        <v>133340</v>
      </c>
      <c r="AA4">
        <f>VLOOKUP($A4,'MF-225'!$A$2:$BV$53,AA$1,FALSE)</f>
        <v>195883</v>
      </c>
      <c r="AB4">
        <f>VLOOKUP($A4,'MF-225'!$A$2:$BV$53,AB$1,FALSE)</f>
        <v>140241</v>
      </c>
      <c r="AC4">
        <f>VLOOKUP($A4,'MF-225'!$A$2:$BV$53,AC$1,FALSE)</f>
        <v>116169</v>
      </c>
      <c r="AD4">
        <f>VLOOKUP($A4,'MF-225'!$A$2:$BV$53,AD$1,FALSE)</f>
        <v>134395</v>
      </c>
      <c r="AE4">
        <f>VLOOKUP($A4,'MF-225'!$A$2:$BV$53,AE$1,FALSE)</f>
        <v>93604</v>
      </c>
      <c r="AF4">
        <f>VLOOKUP($A4,'MF-225'!$A$2:$BV$53,AF$1,FALSE)</f>
        <v>126670</v>
      </c>
      <c r="AG4">
        <f>VLOOKUP($A4,'MF-225'!$A$2:$BV$53,AG$1,FALSE)</f>
        <v>103527</v>
      </c>
      <c r="AH4">
        <f>VLOOKUP($A4,'MF-225'!$A$2:$BV$53,AH$1,FALSE)</f>
        <v>119289</v>
      </c>
    </row>
    <row r="5" spans="1:34">
      <c r="A5" t="s">
        <v>3</v>
      </c>
      <c r="B5" t="str">
        <f>VLOOKUP(A5,'State Codes'!$C$10:$D$63,2,FALSE)</f>
        <v>AZ</v>
      </c>
      <c r="C5">
        <f>VLOOKUP($A5,'MF-225'!$A$2:$BV$53,C$1,FALSE)</f>
        <v>331071</v>
      </c>
      <c r="D5">
        <f>VLOOKUP($A5,'MF-225'!$A$2:$BV$53,D$1,FALSE)</f>
        <v>301102</v>
      </c>
      <c r="E5">
        <f>VLOOKUP($A5,'MF-225'!$A$2:$BV$53,E$1,FALSE)</f>
        <v>352181</v>
      </c>
      <c r="F5">
        <f>VLOOKUP($A5,'MF-225'!$A$2:$BV$53,F$1,FALSE)</f>
        <v>474486</v>
      </c>
      <c r="G5">
        <f>VLOOKUP($A5,'MF-225'!$A$2:$BV$53,G$1,FALSE)</f>
        <v>463479</v>
      </c>
      <c r="H5">
        <f>VLOOKUP($A5,'MF-225'!$A$2:$BV$53,H$1,FALSE)</f>
        <v>484323</v>
      </c>
      <c r="I5">
        <f>VLOOKUP($A5,'MF-225'!$A$2:$BV$53,I$1,FALSE)</f>
        <v>529310</v>
      </c>
      <c r="J5">
        <f>VLOOKUP($A5,'MF-225'!$A$2:$BV$53,J$1,FALSE)</f>
        <v>688869</v>
      </c>
      <c r="K5">
        <f>VLOOKUP($A5,'MF-225'!$A$2:$BV$53,K$1,FALSE)</f>
        <v>606448</v>
      </c>
      <c r="L5">
        <f>VLOOKUP($A5,'MF-225'!$A$2:$BV$53,L$1,FALSE)</f>
        <v>663876</v>
      </c>
      <c r="M5">
        <f>VLOOKUP($A5,'MF-225'!$A$2:$BV$53,M$1,FALSE)</f>
        <v>632761</v>
      </c>
      <c r="N5">
        <f>VLOOKUP($A5,'MF-225'!$A$2:$BV$53,N$1,FALSE)</f>
        <v>678902</v>
      </c>
      <c r="O5">
        <f>VLOOKUP($A5,'MF-225'!$A$2:$BV$53,O$1,FALSE)</f>
        <v>709011</v>
      </c>
      <c r="P5">
        <f>VLOOKUP($A5,'MF-225'!$A$2:$BV$53,P$1,FALSE)</f>
        <v>734014</v>
      </c>
      <c r="Q5">
        <f>VLOOKUP($A5,'MF-225'!$A$2:$BV$53,Q$1,FALSE)</f>
        <v>780791</v>
      </c>
      <c r="R5">
        <f>VLOOKUP($A5,'MF-225'!$A$2:$BV$53,R$1,FALSE)</f>
        <v>860537</v>
      </c>
      <c r="S5">
        <f>VLOOKUP($A5,'MF-225'!$A$2:$BV$53,S$1,FALSE)</f>
        <v>886254</v>
      </c>
      <c r="T5">
        <f>VLOOKUP($A5,'MF-225'!$A$2:$BV$53,T$1,FALSE)</f>
        <v>885407</v>
      </c>
      <c r="U5">
        <f>VLOOKUP($A5,'MF-225'!$A$2:$BV$53,U$1,FALSE)</f>
        <v>819465.41099999985</v>
      </c>
      <c r="V5">
        <f>VLOOKUP($A5,'MF-225'!$A$2:$BV$53,V$1,FALSE)</f>
        <v>726297.11100000003</v>
      </c>
      <c r="W5">
        <f>VLOOKUP($A5,'MF-225'!$A$2:$BV$53,W$1,FALSE)</f>
        <v>775818.04200000002</v>
      </c>
      <c r="X5">
        <f>VLOOKUP($A5,'MF-225'!$A$2:$BV$53,X$1,FALSE)</f>
        <v>780406.73900000006</v>
      </c>
      <c r="Y5">
        <f>VLOOKUP($A5,'MF-225'!$A$2:$BV$53,Y$1,FALSE)</f>
        <v>766195.08600000001</v>
      </c>
      <c r="Z5">
        <f>VLOOKUP($A5,'MF-225'!$A$2:$BV$53,Z$1,FALSE)</f>
        <v>716898</v>
      </c>
      <c r="AA5">
        <f>VLOOKUP($A5,'MF-225'!$A$2:$BV$53,AA$1,FALSE)</f>
        <v>770076</v>
      </c>
      <c r="AB5">
        <f>VLOOKUP($A5,'MF-225'!$A$2:$BV$53,AB$1,FALSE)</f>
        <v>807771</v>
      </c>
      <c r="AC5">
        <f>VLOOKUP($A5,'MF-225'!$A$2:$BV$53,AC$1,FALSE)</f>
        <v>848026</v>
      </c>
      <c r="AD5">
        <f>VLOOKUP($A5,'MF-225'!$A$2:$BV$53,AD$1,FALSE)</f>
        <v>865616</v>
      </c>
      <c r="AE5">
        <f>VLOOKUP($A5,'MF-225'!$A$2:$BV$53,AE$1,FALSE)</f>
        <v>894569</v>
      </c>
      <c r="AF5">
        <f>VLOOKUP($A5,'MF-225'!$A$2:$BV$53,AF$1,FALSE)</f>
        <v>946619</v>
      </c>
      <c r="AG5">
        <f>VLOOKUP($A5,'MF-225'!$A$2:$BV$53,AG$1,FALSE)</f>
        <v>956952</v>
      </c>
      <c r="AH5">
        <f>VLOOKUP($A5,'MF-225'!$A$2:$BV$53,AH$1,FALSE)</f>
        <v>1075428</v>
      </c>
    </row>
    <row r="6" spans="1:34">
      <c r="A6" t="s">
        <v>4</v>
      </c>
      <c r="B6" t="str">
        <f>VLOOKUP(A6,'State Codes'!$C$10:$D$63,2,FALSE)</f>
        <v>AR</v>
      </c>
      <c r="C6">
        <f>VLOOKUP($A6,'MF-225'!$A$2:$BV$53,C$1,FALSE)</f>
        <v>385802</v>
      </c>
      <c r="D6">
        <f>VLOOKUP($A6,'MF-225'!$A$2:$BV$53,D$1,FALSE)</f>
        <v>386961</v>
      </c>
      <c r="E6">
        <f>VLOOKUP($A6,'MF-225'!$A$2:$BV$53,E$1,FALSE)</f>
        <v>405441</v>
      </c>
      <c r="F6">
        <f>VLOOKUP($A6,'MF-225'!$A$2:$BV$53,F$1,FALSE)</f>
        <v>427972</v>
      </c>
      <c r="G6">
        <f>VLOOKUP($A6,'MF-225'!$A$2:$BV$53,G$1,FALSE)</f>
        <v>472195</v>
      </c>
      <c r="H6">
        <f>VLOOKUP($A6,'MF-225'!$A$2:$BV$53,H$1,FALSE)</f>
        <v>490814</v>
      </c>
      <c r="I6">
        <f>VLOOKUP($A6,'MF-225'!$A$2:$BV$53,I$1,FALSE)</f>
        <v>497660</v>
      </c>
      <c r="J6">
        <f>VLOOKUP($A6,'MF-225'!$A$2:$BV$53,J$1,FALSE)</f>
        <v>534712</v>
      </c>
      <c r="K6">
        <f>VLOOKUP($A6,'MF-225'!$A$2:$BV$53,K$1,FALSE)</f>
        <v>562634</v>
      </c>
      <c r="L6">
        <f>VLOOKUP($A6,'MF-225'!$A$2:$BV$53,L$1,FALSE)</f>
        <v>557820</v>
      </c>
      <c r="M6">
        <f>VLOOKUP($A6,'MF-225'!$A$2:$BV$53,M$1,FALSE)</f>
        <v>587842</v>
      </c>
      <c r="N6">
        <f>VLOOKUP($A6,'MF-225'!$A$2:$BV$53,N$1,FALSE)</f>
        <v>582034</v>
      </c>
      <c r="O6">
        <f>VLOOKUP($A6,'MF-225'!$A$2:$BV$53,O$1,FALSE)</f>
        <v>572817</v>
      </c>
      <c r="P6">
        <f>VLOOKUP($A6,'MF-225'!$A$2:$BV$53,P$1,FALSE)</f>
        <v>590609</v>
      </c>
      <c r="Q6">
        <f>VLOOKUP($A6,'MF-225'!$A$2:$BV$53,Q$1,FALSE)</f>
        <v>601994</v>
      </c>
      <c r="R6">
        <f>VLOOKUP($A6,'MF-225'!$A$2:$BV$53,R$1,FALSE)</f>
        <v>634171</v>
      </c>
      <c r="S6">
        <f>VLOOKUP($A6,'MF-225'!$A$2:$BV$53,S$1,FALSE)</f>
        <v>651418</v>
      </c>
      <c r="T6">
        <f>VLOOKUP($A6,'MF-225'!$A$2:$BV$53,T$1,FALSE)</f>
        <v>673731</v>
      </c>
      <c r="U6">
        <f>VLOOKUP($A6,'MF-225'!$A$2:$BV$53,U$1,FALSE)</f>
        <v>628409.59700000007</v>
      </c>
      <c r="V6">
        <f>VLOOKUP($A6,'MF-225'!$A$2:$BV$53,V$1,FALSE)</f>
        <v>592943.18599999999</v>
      </c>
      <c r="W6">
        <f>VLOOKUP($A6,'MF-225'!$A$2:$BV$53,W$1,FALSE)</f>
        <v>619188.25199999998</v>
      </c>
      <c r="X6">
        <f>VLOOKUP($A6,'MF-225'!$A$2:$BV$53,X$1,FALSE)</f>
        <v>603305.39799999993</v>
      </c>
      <c r="Y6">
        <f>VLOOKUP($A6,'MF-225'!$A$2:$BV$53,Y$1,FALSE)</f>
        <v>606650.08700000006</v>
      </c>
      <c r="Z6">
        <f>VLOOKUP($A6,'MF-225'!$A$2:$BV$53,Z$1,FALSE)</f>
        <v>598371</v>
      </c>
      <c r="AA6">
        <f>VLOOKUP($A6,'MF-225'!$A$2:$BV$53,AA$1,FALSE)</f>
        <v>612785</v>
      </c>
      <c r="AB6">
        <f>VLOOKUP($A6,'MF-225'!$A$2:$BV$53,AB$1,FALSE)</f>
        <v>616900</v>
      </c>
      <c r="AC6">
        <f>VLOOKUP($A6,'MF-225'!$A$2:$BV$53,AC$1,FALSE)</f>
        <v>641687</v>
      </c>
      <c r="AD6">
        <f>VLOOKUP($A6,'MF-225'!$A$2:$BV$53,AD$1,FALSE)</f>
        <v>666074</v>
      </c>
      <c r="AE6">
        <f>VLOOKUP($A6,'MF-225'!$A$2:$BV$53,AE$1,FALSE)</f>
        <v>681891</v>
      </c>
      <c r="AF6">
        <f>VLOOKUP($A6,'MF-225'!$A$2:$BV$53,AF$1,FALSE)</f>
        <v>680318</v>
      </c>
      <c r="AG6">
        <f>VLOOKUP($A6,'MF-225'!$A$2:$BV$53,AG$1,FALSE)</f>
        <v>679637</v>
      </c>
      <c r="AH6">
        <f>VLOOKUP($A6,'MF-225'!$A$2:$BV$53,AH$1,FALSE)</f>
        <v>737944</v>
      </c>
    </row>
    <row r="7" spans="1:34">
      <c r="A7" t="s">
        <v>5</v>
      </c>
      <c r="B7" t="str">
        <f>VLOOKUP(A7,'State Codes'!$C$10:$D$63,2,FALSE)</f>
        <v>CA</v>
      </c>
      <c r="C7">
        <f>VLOOKUP($A7,'MF-225'!$A$2:$BV$53,C$1,FALSE)</f>
        <v>1852610</v>
      </c>
      <c r="D7">
        <f>VLOOKUP($A7,'MF-225'!$A$2:$BV$53,D$1,FALSE)</f>
        <v>1793825</v>
      </c>
      <c r="E7">
        <f>VLOOKUP($A7,'MF-225'!$A$2:$BV$53,E$1,FALSE)</f>
        <v>1998741</v>
      </c>
      <c r="F7">
        <f>VLOOKUP($A7,'MF-225'!$A$2:$BV$53,F$1,FALSE)</f>
        <v>1853278</v>
      </c>
      <c r="G7">
        <f>VLOOKUP($A7,'MF-225'!$A$2:$BV$53,G$1,FALSE)</f>
        <v>2035629</v>
      </c>
      <c r="H7">
        <f>VLOOKUP($A7,'MF-225'!$A$2:$BV$53,H$1,FALSE)</f>
        <v>2109665</v>
      </c>
      <c r="I7">
        <f>VLOOKUP($A7,'MF-225'!$A$2:$BV$53,I$1,FALSE)</f>
        <v>2133927</v>
      </c>
      <c r="J7">
        <f>VLOOKUP($A7,'MF-225'!$A$2:$BV$53,J$1,FALSE)</f>
        <v>2297847</v>
      </c>
      <c r="K7">
        <f>VLOOKUP($A7,'MF-225'!$A$2:$BV$53,K$1,FALSE)</f>
        <v>2347370</v>
      </c>
      <c r="L7">
        <f>VLOOKUP($A7,'MF-225'!$A$2:$BV$53,L$1,FALSE)</f>
        <v>2468188</v>
      </c>
      <c r="M7">
        <f>VLOOKUP($A7,'MF-225'!$A$2:$BV$53,M$1,FALSE)</f>
        <v>2639366</v>
      </c>
      <c r="N7">
        <f>VLOOKUP($A7,'MF-225'!$A$2:$BV$53,N$1,FALSE)</f>
        <v>2647870</v>
      </c>
      <c r="O7">
        <f>VLOOKUP($A7,'MF-225'!$A$2:$BV$53,O$1,FALSE)</f>
        <v>2732503</v>
      </c>
      <c r="P7">
        <f>VLOOKUP($A7,'MF-225'!$A$2:$BV$53,P$1,FALSE)</f>
        <v>2688255</v>
      </c>
      <c r="Q7">
        <f>VLOOKUP($A7,'MF-225'!$A$2:$BV$53,Q$1,FALSE)</f>
        <v>2908737</v>
      </c>
      <c r="R7">
        <f>VLOOKUP($A7,'MF-225'!$A$2:$BV$53,R$1,FALSE)</f>
        <v>3064404</v>
      </c>
      <c r="S7">
        <f>VLOOKUP($A7,'MF-225'!$A$2:$BV$53,S$1,FALSE)</f>
        <v>3045851</v>
      </c>
      <c r="T7">
        <f>VLOOKUP($A7,'MF-225'!$A$2:$BV$53,T$1,FALSE)</f>
        <v>3181111</v>
      </c>
      <c r="U7">
        <f>VLOOKUP($A7,'MF-225'!$A$2:$BV$53,U$1,FALSE)</f>
        <v>2956542.2600000007</v>
      </c>
      <c r="V7">
        <f>VLOOKUP($A7,'MF-225'!$A$2:$BV$53,V$1,FALSE)</f>
        <v>2728339.8459999999</v>
      </c>
      <c r="W7">
        <f>VLOOKUP($A7,'MF-225'!$A$2:$BV$53,W$1,FALSE)</f>
        <v>2732916.523</v>
      </c>
      <c r="X7">
        <f>VLOOKUP($A7,'MF-225'!$A$2:$BV$53,X$1,FALSE)</f>
        <v>2766945.3590000002</v>
      </c>
      <c r="Y7">
        <f>VLOOKUP($A7,'MF-225'!$A$2:$BV$53,Y$1,FALSE)</f>
        <v>2748351.321</v>
      </c>
      <c r="Z7">
        <f>VLOOKUP($A7,'MF-225'!$A$2:$BV$53,Z$1,FALSE)</f>
        <v>2859342</v>
      </c>
      <c r="AA7">
        <f>VLOOKUP($A7,'MF-225'!$A$2:$BV$53,AA$1,FALSE)</f>
        <v>2918733</v>
      </c>
      <c r="AB7">
        <f>VLOOKUP($A7,'MF-225'!$A$2:$BV$53,AB$1,FALSE)</f>
        <v>3012037</v>
      </c>
      <c r="AC7">
        <f>VLOOKUP($A7,'MF-225'!$A$2:$BV$53,AC$1,FALSE)</f>
        <v>3182368</v>
      </c>
      <c r="AD7">
        <f>VLOOKUP($A7,'MF-225'!$A$2:$BV$53,AD$1,FALSE)</f>
        <v>3297303</v>
      </c>
      <c r="AE7">
        <f>VLOOKUP($A7,'MF-225'!$A$2:$BV$53,AE$1,FALSE)</f>
        <v>3282512</v>
      </c>
      <c r="AF7">
        <f>VLOOKUP($A7,'MF-225'!$A$2:$BV$53,AF$1,FALSE)</f>
        <v>3502324</v>
      </c>
      <c r="AG7">
        <f>VLOOKUP($A7,'MF-225'!$A$2:$BV$53,AG$1,FALSE)</f>
        <v>3147550</v>
      </c>
      <c r="AH7">
        <f>VLOOKUP($A7,'MF-225'!$A$2:$BV$53,AH$1,FALSE)</f>
        <v>3366973</v>
      </c>
    </row>
    <row r="8" spans="1:34">
      <c r="A8" t="s">
        <v>63</v>
      </c>
      <c r="B8" t="str">
        <f>VLOOKUP(A8,'State Codes'!$C$10:$D$63,2,FALSE)</f>
        <v>CO</v>
      </c>
      <c r="C8">
        <f>VLOOKUP($A8,'MF-225'!$A$2:$BV$53,C$1,FALSE)</f>
        <v>206215</v>
      </c>
      <c r="D8">
        <f>VLOOKUP($A8,'MF-225'!$A$2:$BV$53,D$1,FALSE)</f>
        <v>208405</v>
      </c>
      <c r="E8">
        <f>VLOOKUP($A8,'MF-225'!$A$2:$BV$53,E$1,FALSE)</f>
        <v>224266</v>
      </c>
      <c r="F8">
        <f>VLOOKUP($A8,'MF-225'!$A$2:$BV$53,F$1,FALSE)</f>
        <v>263542</v>
      </c>
      <c r="G8">
        <f>VLOOKUP($A8,'MF-225'!$A$2:$BV$53,G$1,FALSE)</f>
        <v>269399</v>
      </c>
      <c r="H8">
        <f>VLOOKUP($A8,'MF-225'!$A$2:$BV$53,H$1,FALSE)</f>
        <v>285785</v>
      </c>
      <c r="I8">
        <f>VLOOKUP($A8,'MF-225'!$A$2:$BV$53,I$1,FALSE)</f>
        <v>274939</v>
      </c>
      <c r="J8">
        <f>VLOOKUP($A8,'MF-225'!$A$2:$BV$53,J$1,FALSE)</f>
        <v>292686</v>
      </c>
      <c r="K8">
        <f>VLOOKUP($A8,'MF-225'!$A$2:$BV$53,K$1,FALSE)</f>
        <v>386118</v>
      </c>
      <c r="L8">
        <f>VLOOKUP($A8,'MF-225'!$A$2:$BV$53,L$1,FALSE)</f>
        <v>449375</v>
      </c>
      <c r="M8">
        <f>VLOOKUP($A8,'MF-225'!$A$2:$BV$53,M$1,FALSE)</f>
        <v>472447</v>
      </c>
      <c r="N8">
        <f>VLOOKUP($A8,'MF-225'!$A$2:$BV$53,N$1,FALSE)</f>
        <v>512967</v>
      </c>
      <c r="O8">
        <f>VLOOKUP($A8,'MF-225'!$A$2:$BV$53,O$1,FALSE)</f>
        <v>549888</v>
      </c>
      <c r="P8">
        <f>VLOOKUP($A8,'MF-225'!$A$2:$BV$53,P$1,FALSE)</f>
        <v>475386</v>
      </c>
      <c r="Q8">
        <f>VLOOKUP($A8,'MF-225'!$A$2:$BV$53,Q$1,FALSE)</f>
        <v>508032</v>
      </c>
      <c r="R8">
        <f>VLOOKUP($A8,'MF-225'!$A$2:$BV$53,R$1,FALSE)</f>
        <v>554018</v>
      </c>
      <c r="S8">
        <f>VLOOKUP($A8,'MF-225'!$A$2:$BV$53,S$1,FALSE)</f>
        <v>582166</v>
      </c>
      <c r="T8">
        <f>VLOOKUP($A8,'MF-225'!$A$2:$BV$53,T$1,FALSE)</f>
        <v>601573</v>
      </c>
      <c r="U8">
        <f>VLOOKUP($A8,'MF-225'!$A$2:$BV$53,U$1,FALSE)</f>
        <v>582806.07999999996</v>
      </c>
      <c r="V8">
        <f>VLOOKUP($A8,'MF-225'!$A$2:$BV$53,V$1,FALSE)</f>
        <v>525006.86800000002</v>
      </c>
      <c r="W8">
        <f>VLOOKUP($A8,'MF-225'!$A$2:$BV$53,W$1,FALSE)</f>
        <v>539797.49699999997</v>
      </c>
      <c r="X8">
        <f>VLOOKUP($A8,'MF-225'!$A$2:$BV$53,X$1,FALSE)</f>
        <v>542782.87099999993</v>
      </c>
      <c r="Y8">
        <f>VLOOKUP($A8,'MF-225'!$A$2:$BV$53,Y$1,FALSE)</f>
        <v>558555.23</v>
      </c>
      <c r="Z8">
        <f>VLOOKUP($A8,'MF-225'!$A$2:$BV$53,Z$1,FALSE)</f>
        <v>565577</v>
      </c>
      <c r="AA8">
        <f>VLOOKUP($A8,'MF-225'!$A$2:$BV$53,AA$1,FALSE)</f>
        <v>615730</v>
      </c>
      <c r="AB8">
        <f>VLOOKUP($A8,'MF-225'!$A$2:$BV$53,AB$1,FALSE)</f>
        <v>632740</v>
      </c>
      <c r="AC8">
        <f>VLOOKUP($A8,'MF-225'!$A$2:$BV$53,AC$1,FALSE)</f>
        <v>636213</v>
      </c>
      <c r="AD8">
        <f>VLOOKUP($A8,'MF-225'!$A$2:$BV$53,AD$1,FALSE)</f>
        <v>665357</v>
      </c>
      <c r="AE8">
        <f>VLOOKUP($A8,'MF-225'!$A$2:$BV$53,AE$1,FALSE)</f>
        <v>672871</v>
      </c>
      <c r="AF8">
        <f>VLOOKUP($A8,'MF-225'!$A$2:$BV$53,AF$1,FALSE)</f>
        <v>681901</v>
      </c>
      <c r="AG8">
        <f>VLOOKUP($A8,'MF-225'!$A$2:$BV$53,AG$1,FALSE)</f>
        <v>659457</v>
      </c>
      <c r="AH8">
        <f>VLOOKUP($A8,'MF-225'!$A$2:$BV$53,AH$1,FALSE)</f>
        <v>709776</v>
      </c>
    </row>
    <row r="9" spans="1:34">
      <c r="A9" t="s">
        <v>6</v>
      </c>
      <c r="B9" t="str">
        <f>VLOOKUP(A9,'State Codes'!$C$10:$D$63,2,FALSE)</f>
        <v>CT</v>
      </c>
      <c r="C9">
        <f>VLOOKUP($A9,'MF-225'!$A$2:$BV$53,C$1,FALSE)</f>
        <v>186197</v>
      </c>
      <c r="D9">
        <f>VLOOKUP($A9,'MF-225'!$A$2:$BV$53,D$1,FALSE)</f>
        <v>173200</v>
      </c>
      <c r="E9">
        <f>VLOOKUP($A9,'MF-225'!$A$2:$BV$53,E$1,FALSE)</f>
        <v>189394</v>
      </c>
      <c r="F9">
        <f>VLOOKUP($A9,'MF-225'!$A$2:$BV$53,F$1,FALSE)</f>
        <v>197287</v>
      </c>
      <c r="G9">
        <f>VLOOKUP($A9,'MF-225'!$A$2:$BV$53,G$1,FALSE)</f>
        <v>186477</v>
      </c>
      <c r="H9">
        <f>VLOOKUP($A9,'MF-225'!$A$2:$BV$53,H$1,FALSE)</f>
        <v>200736</v>
      </c>
      <c r="I9">
        <f>VLOOKUP($A9,'MF-225'!$A$2:$BV$53,I$1,FALSE)</f>
        <v>177626</v>
      </c>
      <c r="J9">
        <f>VLOOKUP($A9,'MF-225'!$A$2:$BV$53,J$1,FALSE)</f>
        <v>244903</v>
      </c>
      <c r="K9">
        <f>VLOOKUP($A9,'MF-225'!$A$2:$BV$53,K$1,FALSE)</f>
        <v>223417</v>
      </c>
      <c r="L9">
        <f>VLOOKUP($A9,'MF-225'!$A$2:$BV$53,L$1,FALSE)</f>
        <v>237293</v>
      </c>
      <c r="M9">
        <f>VLOOKUP($A9,'MF-225'!$A$2:$BV$53,M$1,FALSE)</f>
        <v>274914</v>
      </c>
      <c r="N9">
        <f>VLOOKUP($A9,'MF-225'!$A$2:$BV$53,N$1,FALSE)</f>
        <v>273178</v>
      </c>
      <c r="O9">
        <f>VLOOKUP($A9,'MF-225'!$A$2:$BV$53,O$1,FALSE)</f>
        <v>229112</v>
      </c>
      <c r="P9">
        <f>VLOOKUP($A9,'MF-225'!$A$2:$BV$53,P$1,FALSE)</f>
        <v>267048</v>
      </c>
      <c r="Q9">
        <f>VLOOKUP($A9,'MF-225'!$A$2:$BV$53,Q$1,FALSE)</f>
        <v>285813</v>
      </c>
      <c r="R9">
        <f>VLOOKUP($A9,'MF-225'!$A$2:$BV$53,R$1,FALSE)</f>
        <v>307303</v>
      </c>
      <c r="S9">
        <f>VLOOKUP($A9,'MF-225'!$A$2:$BV$53,S$1,FALSE)</f>
        <v>302684</v>
      </c>
      <c r="T9">
        <f>VLOOKUP($A9,'MF-225'!$A$2:$BV$53,T$1,FALSE)</f>
        <v>306861</v>
      </c>
      <c r="U9">
        <f>VLOOKUP($A9,'MF-225'!$A$2:$BV$53,U$1,FALSE)</f>
        <v>296093.071</v>
      </c>
      <c r="V9">
        <f>VLOOKUP($A9,'MF-225'!$A$2:$BV$53,V$1,FALSE)</f>
        <v>268457.23300000001</v>
      </c>
      <c r="W9">
        <f>VLOOKUP($A9,'MF-225'!$A$2:$BV$53,W$1,FALSE)</f>
        <v>270327.40700000001</v>
      </c>
      <c r="X9">
        <f>VLOOKUP($A9,'MF-225'!$A$2:$BV$53,X$1,FALSE)</f>
        <v>275813.61</v>
      </c>
      <c r="Y9">
        <f>VLOOKUP($A9,'MF-225'!$A$2:$BV$53,Y$1,FALSE)</f>
        <v>269437.98200000002</v>
      </c>
      <c r="Z9">
        <f>VLOOKUP($A9,'MF-225'!$A$2:$BV$53,Z$1,FALSE)</f>
        <v>269903</v>
      </c>
      <c r="AA9">
        <f>VLOOKUP($A9,'MF-225'!$A$2:$BV$53,AA$1,FALSE)</f>
        <v>270988</v>
      </c>
      <c r="AB9">
        <f>VLOOKUP($A9,'MF-225'!$A$2:$BV$53,AB$1,FALSE)</f>
        <v>274012</v>
      </c>
      <c r="AC9">
        <f>VLOOKUP($A9,'MF-225'!$A$2:$BV$53,AC$1,FALSE)</f>
        <v>273595</v>
      </c>
      <c r="AD9">
        <f>VLOOKUP($A9,'MF-225'!$A$2:$BV$53,AD$1,FALSE)</f>
        <v>274247</v>
      </c>
      <c r="AE9">
        <f>VLOOKUP($A9,'MF-225'!$A$2:$BV$53,AE$1,FALSE)</f>
        <v>284610</v>
      </c>
      <c r="AF9">
        <f>VLOOKUP($A9,'MF-225'!$A$2:$BV$53,AF$1,FALSE)</f>
        <v>286501</v>
      </c>
      <c r="AG9">
        <f>VLOOKUP($A9,'MF-225'!$A$2:$BV$53,AG$1,FALSE)</f>
        <v>276173</v>
      </c>
      <c r="AH9">
        <f>VLOOKUP($A9,'MF-225'!$A$2:$BV$53,AH$1,FALSE)</f>
        <v>306588</v>
      </c>
    </row>
    <row r="10" spans="1:34">
      <c r="A10" t="s">
        <v>7</v>
      </c>
      <c r="B10" t="str">
        <f>VLOOKUP(A10,'State Codes'!$C$10:$D$63,2,FALSE)</f>
        <v>DE</v>
      </c>
      <c r="C10">
        <f>VLOOKUP($A10,'MF-225'!$A$2:$BV$53,C$1,FALSE)</f>
        <v>53266</v>
      </c>
      <c r="D10">
        <f>VLOOKUP($A10,'MF-225'!$A$2:$BV$53,D$1,FALSE)</f>
        <v>52689</v>
      </c>
      <c r="E10">
        <f>VLOOKUP($A10,'MF-225'!$A$2:$BV$53,E$1,FALSE)</f>
        <v>52503</v>
      </c>
      <c r="F10">
        <f>VLOOKUP($A10,'MF-225'!$A$2:$BV$53,F$1,FALSE)</f>
        <v>55154</v>
      </c>
      <c r="G10">
        <f>VLOOKUP($A10,'MF-225'!$A$2:$BV$53,G$1,FALSE)</f>
        <v>62278</v>
      </c>
      <c r="H10">
        <f>VLOOKUP($A10,'MF-225'!$A$2:$BV$53,H$1,FALSE)</f>
        <v>63381</v>
      </c>
      <c r="I10">
        <f>VLOOKUP($A10,'MF-225'!$A$2:$BV$53,I$1,FALSE)</f>
        <v>59666</v>
      </c>
      <c r="J10">
        <f>VLOOKUP($A10,'MF-225'!$A$2:$BV$53,J$1,FALSE)</f>
        <v>63530</v>
      </c>
      <c r="K10">
        <f>VLOOKUP($A10,'MF-225'!$A$2:$BV$53,K$1,FALSE)</f>
        <v>62830</v>
      </c>
      <c r="L10">
        <f>VLOOKUP($A10,'MF-225'!$A$2:$BV$53,L$1,FALSE)</f>
        <v>57741</v>
      </c>
      <c r="M10">
        <f>VLOOKUP($A10,'MF-225'!$A$2:$BV$53,M$1,FALSE)</f>
        <v>58320</v>
      </c>
      <c r="N10">
        <f>VLOOKUP($A10,'MF-225'!$A$2:$BV$53,N$1,FALSE)</f>
        <v>56812</v>
      </c>
      <c r="O10">
        <f>VLOOKUP($A10,'MF-225'!$A$2:$BV$53,O$1,FALSE)</f>
        <v>61713</v>
      </c>
      <c r="P10">
        <f>VLOOKUP($A10,'MF-225'!$A$2:$BV$53,P$1,FALSE)</f>
        <v>63785</v>
      </c>
      <c r="Q10">
        <f>VLOOKUP($A10,'MF-225'!$A$2:$BV$53,Q$1,FALSE)</f>
        <v>65569</v>
      </c>
      <c r="R10">
        <f>VLOOKUP($A10,'MF-225'!$A$2:$BV$53,R$1,FALSE)</f>
        <v>72646</v>
      </c>
      <c r="S10">
        <f>VLOOKUP($A10,'MF-225'!$A$2:$BV$53,S$1,FALSE)</f>
        <v>70459</v>
      </c>
      <c r="T10">
        <f>VLOOKUP($A10,'MF-225'!$A$2:$BV$53,T$1,FALSE)</f>
        <v>71608</v>
      </c>
      <c r="U10">
        <f>VLOOKUP($A10,'MF-225'!$A$2:$BV$53,U$1,FALSE)</f>
        <v>66169.054000000004</v>
      </c>
      <c r="V10">
        <f>VLOOKUP($A10,'MF-225'!$A$2:$BV$53,V$1,FALSE)</f>
        <v>68518.284</v>
      </c>
      <c r="W10">
        <f>VLOOKUP($A10,'MF-225'!$A$2:$BV$53,W$1,FALSE)</f>
        <v>61038.947999999997</v>
      </c>
      <c r="X10">
        <f>VLOOKUP($A10,'MF-225'!$A$2:$BV$53,X$1,FALSE)</f>
        <v>61119.038</v>
      </c>
      <c r="Y10">
        <f>VLOOKUP($A10,'MF-225'!$A$2:$BV$53,Y$1,FALSE)</f>
        <v>60643.659999999996</v>
      </c>
      <c r="Z10">
        <f>VLOOKUP($A10,'MF-225'!$A$2:$BV$53,Z$1,FALSE)</f>
        <v>61172</v>
      </c>
      <c r="AA10">
        <f>VLOOKUP($A10,'MF-225'!$A$2:$BV$53,AA$1,FALSE)</f>
        <v>63892</v>
      </c>
      <c r="AB10">
        <f>VLOOKUP($A10,'MF-225'!$A$2:$BV$53,AB$1,FALSE)</f>
        <v>65358</v>
      </c>
      <c r="AC10">
        <f>VLOOKUP($A10,'MF-225'!$A$2:$BV$53,AC$1,FALSE)</f>
        <v>70056</v>
      </c>
      <c r="AD10">
        <f>VLOOKUP($A10,'MF-225'!$A$2:$BV$53,AD$1,FALSE)</f>
        <v>76830</v>
      </c>
      <c r="AE10">
        <f>VLOOKUP($A10,'MF-225'!$A$2:$BV$53,AE$1,FALSE)</f>
        <v>80315</v>
      </c>
      <c r="AF10">
        <f>VLOOKUP($A10,'MF-225'!$A$2:$BV$53,AF$1,FALSE)</f>
        <v>84114</v>
      </c>
      <c r="AG10">
        <f>VLOOKUP($A10,'MF-225'!$A$2:$BV$53,AG$1,FALSE)</f>
        <v>77492</v>
      </c>
      <c r="AH10">
        <f>VLOOKUP($A10,'MF-225'!$A$2:$BV$53,AH$1,FALSE)</f>
        <v>80110</v>
      </c>
    </row>
    <row r="11" spans="1:34">
      <c r="A11" t="s">
        <v>8</v>
      </c>
      <c r="B11" t="str">
        <f>VLOOKUP(A11,'State Codes'!$C$10:$D$63,2,FALSE)</f>
        <v>DC</v>
      </c>
      <c r="C11">
        <f>VLOOKUP($A11,'MF-225'!$A$2:$BV$53,C$1,FALSE)</f>
        <v>22818</v>
      </c>
      <c r="D11">
        <f>VLOOKUP($A11,'MF-225'!$A$2:$BV$53,D$1,FALSE)</f>
        <v>22148</v>
      </c>
      <c r="E11">
        <f>VLOOKUP($A11,'MF-225'!$A$2:$BV$53,E$1,FALSE)</f>
        <v>21092</v>
      </c>
      <c r="F11">
        <f>VLOOKUP($A11,'MF-225'!$A$2:$BV$53,F$1,FALSE)</f>
        <v>20872</v>
      </c>
      <c r="G11">
        <f>VLOOKUP($A11,'MF-225'!$A$2:$BV$53,G$1,FALSE)</f>
        <v>21889</v>
      </c>
      <c r="H11">
        <f>VLOOKUP($A11,'MF-225'!$A$2:$BV$53,H$1,FALSE)</f>
        <v>21363</v>
      </c>
      <c r="I11">
        <f>VLOOKUP($A11,'MF-225'!$A$2:$BV$53,I$1,FALSE)</f>
        <v>21082</v>
      </c>
      <c r="J11">
        <f>VLOOKUP($A11,'MF-225'!$A$2:$BV$53,J$1,FALSE)</f>
        <v>21689</v>
      </c>
      <c r="K11">
        <f>VLOOKUP($A11,'MF-225'!$A$2:$BV$53,K$1,FALSE)</f>
        <v>21541</v>
      </c>
      <c r="L11">
        <f>VLOOKUP($A11,'MF-225'!$A$2:$BV$53,L$1,FALSE)</f>
        <v>22223</v>
      </c>
      <c r="M11">
        <f>VLOOKUP($A11,'MF-225'!$A$2:$BV$53,M$1,FALSE)</f>
        <v>23215</v>
      </c>
      <c r="N11">
        <f>VLOOKUP($A11,'MF-225'!$A$2:$BV$53,N$1,FALSE)</f>
        <v>27482</v>
      </c>
      <c r="O11">
        <f>VLOOKUP($A11,'MF-225'!$A$2:$BV$53,O$1,FALSE)</f>
        <v>27171</v>
      </c>
      <c r="P11">
        <f>VLOOKUP($A11,'MF-225'!$A$2:$BV$53,P$1,FALSE)</f>
        <v>25710</v>
      </c>
      <c r="Q11">
        <f>VLOOKUP($A11,'MF-225'!$A$2:$BV$53,Q$1,FALSE)</f>
        <v>24413</v>
      </c>
      <c r="R11">
        <f>VLOOKUP($A11,'MF-225'!$A$2:$BV$53,R$1,FALSE)</f>
        <v>28571</v>
      </c>
      <c r="S11">
        <f>VLOOKUP($A11,'MF-225'!$A$2:$BV$53,S$1,FALSE)</f>
        <v>19641</v>
      </c>
      <c r="T11">
        <f>VLOOKUP($A11,'MF-225'!$A$2:$BV$53,T$1,FALSE)</f>
        <v>21864</v>
      </c>
      <c r="U11">
        <f>VLOOKUP($A11,'MF-225'!$A$2:$BV$53,U$1,FALSE)</f>
        <v>26969.010999999999</v>
      </c>
      <c r="V11">
        <f>VLOOKUP($A11,'MF-225'!$A$2:$BV$53,V$1,FALSE)</f>
        <v>21898.959000000003</v>
      </c>
      <c r="W11">
        <f>VLOOKUP($A11,'MF-225'!$A$2:$BV$53,W$1,FALSE)</f>
        <v>21556.850000000002</v>
      </c>
      <c r="X11">
        <f>VLOOKUP($A11,'MF-225'!$A$2:$BV$53,X$1,FALSE)</f>
        <v>18007.311999999998</v>
      </c>
      <c r="Y11">
        <f>VLOOKUP($A11,'MF-225'!$A$2:$BV$53,Y$1,FALSE)</f>
        <v>16558.781999999999</v>
      </c>
      <c r="Z11">
        <f>VLOOKUP($A11,'MF-225'!$A$2:$BV$53,Z$1,FALSE)</f>
        <v>16360</v>
      </c>
      <c r="AA11">
        <f>VLOOKUP($A11,'MF-225'!$A$2:$BV$53,AA$1,FALSE)</f>
        <v>17680</v>
      </c>
      <c r="AB11">
        <f>VLOOKUP($A11,'MF-225'!$A$2:$BV$53,AB$1,FALSE)</f>
        <v>15554</v>
      </c>
      <c r="AC11">
        <f>VLOOKUP($A11,'MF-225'!$A$2:$BV$53,AC$1,FALSE)</f>
        <v>15664</v>
      </c>
      <c r="AD11">
        <f>VLOOKUP($A11,'MF-225'!$A$2:$BV$53,AD$1,FALSE)</f>
        <v>9606</v>
      </c>
      <c r="AE11">
        <f>VLOOKUP($A11,'MF-225'!$A$2:$BV$53,AE$1,FALSE)</f>
        <v>6989</v>
      </c>
      <c r="AF11">
        <f>VLOOKUP($A11,'MF-225'!$A$2:$BV$53,AF$1,FALSE)</f>
        <v>16539</v>
      </c>
      <c r="AG11">
        <f>VLOOKUP($A11,'MF-225'!$A$2:$BV$53,AG$1,FALSE)</f>
        <v>11389</v>
      </c>
      <c r="AH11">
        <f>VLOOKUP($A11,'MF-225'!$A$2:$BV$53,AH$1,FALSE)</f>
        <v>12598</v>
      </c>
    </row>
    <row r="12" spans="1:34">
      <c r="A12" t="s">
        <v>9</v>
      </c>
      <c r="B12" t="str">
        <f>VLOOKUP(A12,'State Codes'!$C$10:$D$63,2,FALSE)</f>
        <v>FL</v>
      </c>
      <c r="C12">
        <f>VLOOKUP($A12,'MF-225'!$A$2:$BV$53,C$1,FALSE)</f>
        <v>843849</v>
      </c>
      <c r="D12">
        <f>VLOOKUP($A12,'MF-225'!$A$2:$BV$53,D$1,FALSE)</f>
        <v>845962</v>
      </c>
      <c r="E12">
        <f>VLOOKUP($A12,'MF-225'!$A$2:$BV$53,E$1,FALSE)</f>
        <v>901509</v>
      </c>
      <c r="F12">
        <f>VLOOKUP($A12,'MF-225'!$A$2:$BV$53,F$1,FALSE)</f>
        <v>932513</v>
      </c>
      <c r="G12">
        <f>VLOOKUP($A12,'MF-225'!$A$2:$BV$53,G$1,FALSE)</f>
        <v>963393</v>
      </c>
      <c r="H12">
        <f>VLOOKUP($A12,'MF-225'!$A$2:$BV$53,H$1,FALSE)</f>
        <v>1004016</v>
      </c>
      <c r="I12">
        <f>VLOOKUP($A12,'MF-225'!$A$2:$BV$53,I$1,FALSE)</f>
        <v>1038762</v>
      </c>
      <c r="J12">
        <f>VLOOKUP($A12,'MF-225'!$A$2:$BV$53,J$1,FALSE)</f>
        <v>1136005</v>
      </c>
      <c r="K12">
        <f>VLOOKUP($A12,'MF-225'!$A$2:$BV$53,K$1,FALSE)</f>
        <v>1183731</v>
      </c>
      <c r="L12">
        <f>VLOOKUP($A12,'MF-225'!$A$2:$BV$53,L$1,FALSE)</f>
        <v>1245526</v>
      </c>
      <c r="M12">
        <f>VLOOKUP($A12,'MF-225'!$A$2:$BV$53,M$1,FALSE)</f>
        <v>1279860</v>
      </c>
      <c r="N12">
        <f>VLOOKUP($A12,'MF-225'!$A$2:$BV$53,N$1,FALSE)</f>
        <v>1289858</v>
      </c>
      <c r="O12">
        <f>VLOOKUP($A12,'MF-225'!$A$2:$BV$53,O$1,FALSE)</f>
        <v>1355450</v>
      </c>
      <c r="P12">
        <f>VLOOKUP($A12,'MF-225'!$A$2:$BV$53,P$1,FALSE)</f>
        <v>1432663</v>
      </c>
      <c r="Q12">
        <f>VLOOKUP($A12,'MF-225'!$A$2:$BV$53,Q$1,FALSE)</f>
        <v>1576307</v>
      </c>
      <c r="R12">
        <f>VLOOKUP($A12,'MF-225'!$A$2:$BV$53,R$1,FALSE)</f>
        <v>1729768</v>
      </c>
      <c r="S12">
        <f>VLOOKUP($A12,'MF-225'!$A$2:$BV$53,S$1,FALSE)</f>
        <v>1794987</v>
      </c>
      <c r="T12">
        <f>VLOOKUP($A12,'MF-225'!$A$2:$BV$53,T$1,FALSE)</f>
        <v>1680451</v>
      </c>
      <c r="U12">
        <f>VLOOKUP($A12,'MF-225'!$A$2:$BV$53,U$1,FALSE)</f>
        <v>1495714.8299999998</v>
      </c>
      <c r="V12">
        <f>VLOOKUP($A12,'MF-225'!$A$2:$BV$53,V$1,FALSE)</f>
        <v>1332915.3810000003</v>
      </c>
      <c r="W12">
        <f>VLOOKUP($A12,'MF-225'!$A$2:$BV$53,W$1,FALSE)</f>
        <v>1359250.5529999998</v>
      </c>
      <c r="X12">
        <f>VLOOKUP($A12,'MF-225'!$A$2:$BV$53,X$1,FALSE)</f>
        <v>1349343.952</v>
      </c>
      <c r="Y12">
        <f>VLOOKUP($A12,'MF-225'!$A$2:$BV$53,Y$1,FALSE)</f>
        <v>1358480.3959999999</v>
      </c>
      <c r="Z12">
        <f>VLOOKUP($A12,'MF-225'!$A$2:$BV$53,Z$1,FALSE)</f>
        <v>1415621</v>
      </c>
      <c r="AA12">
        <f>VLOOKUP($A12,'MF-225'!$A$2:$BV$53,AA$1,FALSE)</f>
        <v>1442091</v>
      </c>
      <c r="AB12">
        <f>VLOOKUP($A12,'MF-225'!$A$2:$BV$53,AB$1,FALSE)</f>
        <v>1556161</v>
      </c>
      <c r="AC12">
        <f>VLOOKUP($A12,'MF-225'!$A$2:$BV$53,AC$1,FALSE)</f>
        <v>1646842</v>
      </c>
      <c r="AD12">
        <f>VLOOKUP($A12,'MF-225'!$A$2:$BV$53,AD$1,FALSE)</f>
        <v>1705522</v>
      </c>
      <c r="AE12">
        <f>VLOOKUP($A12,'MF-225'!$A$2:$BV$53,AE$1,FALSE)</f>
        <v>1781546</v>
      </c>
      <c r="AF12">
        <f>VLOOKUP($A12,'MF-225'!$A$2:$BV$53,AF$1,FALSE)</f>
        <v>1781089</v>
      </c>
      <c r="AG12">
        <f>VLOOKUP($A12,'MF-225'!$A$2:$BV$53,AG$1,FALSE)</f>
        <v>1749833</v>
      </c>
      <c r="AH12">
        <f>VLOOKUP($A12,'MF-225'!$A$2:$BV$53,AH$1,FALSE)</f>
        <v>1887387</v>
      </c>
    </row>
    <row r="13" spans="1:34">
      <c r="A13" t="s">
        <v>10</v>
      </c>
      <c r="B13" t="str">
        <f>VLOOKUP(A13,'State Codes'!$C$10:$D$63,2,FALSE)</f>
        <v>GA</v>
      </c>
      <c r="C13">
        <f>VLOOKUP($A13,'MF-225'!$A$2:$BV$53,C$1,FALSE)</f>
        <v>867436</v>
      </c>
      <c r="D13">
        <f>VLOOKUP($A13,'MF-225'!$A$2:$BV$53,D$1,FALSE)</f>
        <v>862607</v>
      </c>
      <c r="E13">
        <f>VLOOKUP($A13,'MF-225'!$A$2:$BV$53,E$1,FALSE)</f>
        <v>888773</v>
      </c>
      <c r="F13">
        <f>VLOOKUP($A13,'MF-225'!$A$2:$BV$53,F$1,FALSE)</f>
        <v>1003668</v>
      </c>
      <c r="G13">
        <f>VLOOKUP($A13,'MF-225'!$A$2:$BV$53,G$1,FALSE)</f>
        <v>1050161</v>
      </c>
      <c r="H13">
        <f>VLOOKUP($A13,'MF-225'!$A$2:$BV$53,H$1,FALSE)</f>
        <v>1115612</v>
      </c>
      <c r="I13">
        <f>VLOOKUP($A13,'MF-225'!$A$2:$BV$53,I$1,FALSE)</f>
        <v>1173285</v>
      </c>
      <c r="J13">
        <f>VLOOKUP($A13,'MF-225'!$A$2:$BV$53,J$1,FALSE)</f>
        <v>1192282</v>
      </c>
      <c r="K13">
        <f>VLOOKUP($A13,'MF-225'!$A$2:$BV$53,K$1,FALSE)</f>
        <v>1239929</v>
      </c>
      <c r="L13">
        <f>VLOOKUP($A13,'MF-225'!$A$2:$BV$53,L$1,FALSE)</f>
        <v>1330511</v>
      </c>
      <c r="M13">
        <f>VLOOKUP($A13,'MF-225'!$A$2:$BV$53,M$1,FALSE)</f>
        <v>1390609</v>
      </c>
      <c r="N13">
        <f>VLOOKUP($A13,'MF-225'!$A$2:$BV$53,N$1,FALSE)</f>
        <v>1416674</v>
      </c>
      <c r="O13">
        <f>VLOOKUP($A13,'MF-225'!$A$2:$BV$53,O$1,FALSE)</f>
        <v>1458812</v>
      </c>
      <c r="P13">
        <f>VLOOKUP($A13,'MF-225'!$A$2:$BV$53,P$1,FALSE)</f>
        <v>1436781</v>
      </c>
      <c r="Q13">
        <f>VLOOKUP($A13,'MF-225'!$A$2:$BV$53,Q$1,FALSE)</f>
        <v>1461981</v>
      </c>
      <c r="R13">
        <f>VLOOKUP($A13,'MF-225'!$A$2:$BV$53,R$1,FALSE)</f>
        <v>1696811</v>
      </c>
      <c r="S13">
        <f>VLOOKUP($A13,'MF-225'!$A$2:$BV$53,S$1,FALSE)</f>
        <v>1567130</v>
      </c>
      <c r="T13">
        <f>VLOOKUP($A13,'MF-225'!$A$2:$BV$53,T$1,FALSE)</f>
        <v>1515560</v>
      </c>
      <c r="U13">
        <f>VLOOKUP($A13,'MF-225'!$A$2:$BV$53,U$1,FALSE)</f>
        <v>1336492.8279999997</v>
      </c>
      <c r="V13">
        <f>VLOOKUP($A13,'MF-225'!$A$2:$BV$53,V$1,FALSE)</f>
        <v>1201345.031</v>
      </c>
      <c r="W13">
        <f>VLOOKUP($A13,'MF-225'!$A$2:$BV$53,W$1,FALSE)</f>
        <v>1265888.0930000001</v>
      </c>
      <c r="X13">
        <f>VLOOKUP($A13,'MF-225'!$A$2:$BV$53,X$1,FALSE)</f>
        <v>1191556.412</v>
      </c>
      <c r="Y13">
        <f>VLOOKUP($A13,'MF-225'!$A$2:$BV$53,Y$1,FALSE)</f>
        <v>1130189.5330000001</v>
      </c>
      <c r="Z13">
        <f>VLOOKUP($A13,'MF-225'!$A$2:$BV$53,Z$1,FALSE)</f>
        <v>1248710</v>
      </c>
      <c r="AA13">
        <f>VLOOKUP($A13,'MF-225'!$A$2:$BV$53,AA$1,FALSE)</f>
        <v>1253328</v>
      </c>
      <c r="AB13">
        <f>VLOOKUP($A13,'MF-225'!$A$2:$BV$53,AB$1,FALSE)</f>
        <v>1475199</v>
      </c>
      <c r="AC13">
        <f>VLOOKUP($A13,'MF-225'!$A$2:$BV$53,AC$1,FALSE)</f>
        <v>1327172</v>
      </c>
      <c r="AD13">
        <f>VLOOKUP($A13,'MF-225'!$A$2:$BV$53,AD$1,FALSE)</f>
        <v>1541008</v>
      </c>
      <c r="AE13">
        <f>VLOOKUP($A13,'MF-225'!$A$2:$BV$53,AE$1,FALSE)</f>
        <v>1322853</v>
      </c>
      <c r="AF13">
        <f>VLOOKUP($A13,'MF-225'!$A$2:$BV$53,AF$1,FALSE)</f>
        <v>1342455</v>
      </c>
      <c r="AG13">
        <f>VLOOKUP($A13,'MF-225'!$A$2:$BV$53,AG$1,FALSE)</f>
        <v>1382085</v>
      </c>
      <c r="AH13">
        <f>VLOOKUP($A13,'MF-225'!$A$2:$BV$53,AH$1,FALSE)</f>
        <v>1481265</v>
      </c>
    </row>
    <row r="14" spans="1:34">
      <c r="A14" t="s">
        <v>11</v>
      </c>
      <c r="B14" t="str">
        <f>VLOOKUP(A14,'State Codes'!$C$10:$D$63,2,FALSE)</f>
        <v>HI</v>
      </c>
      <c r="C14">
        <f>VLOOKUP($A14,'MF-225'!$A$2:$BV$53,C$1,FALSE)</f>
        <v>25795</v>
      </c>
      <c r="D14">
        <f>VLOOKUP($A14,'MF-225'!$A$2:$BV$53,D$1,FALSE)</f>
        <v>26131</v>
      </c>
      <c r="E14">
        <f>VLOOKUP($A14,'MF-225'!$A$2:$BV$53,E$1,FALSE)</f>
        <v>25912</v>
      </c>
      <c r="F14">
        <f>VLOOKUP($A14,'MF-225'!$A$2:$BV$53,F$1,FALSE)</f>
        <v>26023</v>
      </c>
      <c r="G14">
        <f>VLOOKUP($A14,'MF-225'!$A$2:$BV$53,G$1,FALSE)</f>
        <v>31751</v>
      </c>
      <c r="H14">
        <f>VLOOKUP($A14,'MF-225'!$A$2:$BV$53,H$1,FALSE)</f>
        <v>27525</v>
      </c>
      <c r="I14">
        <f>VLOOKUP($A14,'MF-225'!$A$2:$BV$53,I$1,FALSE)</f>
        <v>30841</v>
      </c>
      <c r="J14">
        <f>VLOOKUP($A14,'MF-225'!$A$2:$BV$53,J$1,FALSE)</f>
        <v>28795</v>
      </c>
      <c r="K14">
        <f>VLOOKUP($A14,'MF-225'!$A$2:$BV$53,K$1,FALSE)</f>
        <v>29276</v>
      </c>
      <c r="L14">
        <f>VLOOKUP($A14,'MF-225'!$A$2:$BV$53,L$1,FALSE)</f>
        <v>33061</v>
      </c>
      <c r="M14">
        <f>VLOOKUP($A14,'MF-225'!$A$2:$BV$53,M$1,FALSE)</f>
        <v>33821</v>
      </c>
      <c r="N14">
        <f>VLOOKUP($A14,'MF-225'!$A$2:$BV$53,N$1,FALSE)</f>
        <v>33075</v>
      </c>
      <c r="O14">
        <f>VLOOKUP($A14,'MF-225'!$A$2:$BV$53,O$1,FALSE)</f>
        <v>38429</v>
      </c>
      <c r="P14">
        <f>VLOOKUP($A14,'MF-225'!$A$2:$BV$53,P$1,FALSE)</f>
        <v>36661</v>
      </c>
      <c r="Q14">
        <f>VLOOKUP($A14,'MF-225'!$A$2:$BV$53,Q$1,FALSE)</f>
        <v>44000</v>
      </c>
      <c r="R14">
        <f>VLOOKUP($A14,'MF-225'!$A$2:$BV$53,R$1,FALSE)</f>
        <v>46756</v>
      </c>
      <c r="S14">
        <f>VLOOKUP($A14,'MF-225'!$A$2:$BV$53,S$1,FALSE)</f>
        <v>53710</v>
      </c>
      <c r="T14">
        <f>VLOOKUP($A14,'MF-225'!$A$2:$BV$53,T$1,FALSE)</f>
        <v>54841</v>
      </c>
      <c r="U14">
        <f>VLOOKUP($A14,'MF-225'!$A$2:$BV$53,U$1,FALSE)</f>
        <v>59017.404000000002</v>
      </c>
      <c r="V14">
        <f>VLOOKUP($A14,'MF-225'!$A$2:$BV$53,V$1,FALSE)</f>
        <v>49460.703000000001</v>
      </c>
      <c r="W14">
        <f>VLOOKUP($A14,'MF-225'!$A$2:$BV$53,W$1,FALSE)</f>
        <v>52400.898999999998</v>
      </c>
      <c r="X14">
        <f>VLOOKUP($A14,'MF-225'!$A$2:$BV$53,X$1,FALSE)</f>
        <v>48795.745999999999</v>
      </c>
      <c r="Y14">
        <f>VLOOKUP($A14,'MF-225'!$A$2:$BV$53,Y$1,FALSE)</f>
        <v>50307.777000000002</v>
      </c>
      <c r="Z14">
        <f>VLOOKUP($A14,'MF-225'!$A$2:$BV$53,Z$1,FALSE)</f>
        <v>53331</v>
      </c>
      <c r="AA14">
        <f>VLOOKUP($A14,'MF-225'!$A$2:$BV$53,AA$1,FALSE)</f>
        <v>47996</v>
      </c>
      <c r="AB14">
        <f>VLOOKUP($A14,'MF-225'!$A$2:$BV$53,AB$1,FALSE)</f>
        <v>53117</v>
      </c>
      <c r="AC14">
        <f>VLOOKUP($A14,'MF-225'!$A$2:$BV$53,AC$1,FALSE)</f>
        <v>49765</v>
      </c>
      <c r="AD14">
        <f>VLOOKUP($A14,'MF-225'!$A$2:$BV$53,AD$1,FALSE)</f>
        <v>51433</v>
      </c>
      <c r="AE14">
        <f>VLOOKUP($A14,'MF-225'!$A$2:$BV$53,AE$1,FALSE)</f>
        <v>51074</v>
      </c>
      <c r="AF14">
        <f>VLOOKUP($A14,'MF-225'!$A$2:$BV$53,AF$1,FALSE)</f>
        <v>48952</v>
      </c>
      <c r="AG14">
        <f>VLOOKUP($A14,'MF-225'!$A$2:$BV$53,AG$1,FALSE)</f>
        <v>42941</v>
      </c>
      <c r="AH14">
        <f>VLOOKUP($A14,'MF-225'!$A$2:$BV$53,AH$1,FALSE)</f>
        <v>47587</v>
      </c>
    </row>
    <row r="15" spans="1:34">
      <c r="A15" t="s">
        <v>12</v>
      </c>
      <c r="B15" t="str">
        <f>VLOOKUP(A15,'State Codes'!$C$10:$D$63,2,FALSE)</f>
        <v>ID</v>
      </c>
      <c r="C15">
        <f>VLOOKUP($A15,'MF-225'!$A$2:$BV$53,C$1,FALSE)</f>
        <v>128235</v>
      </c>
      <c r="D15">
        <f>VLOOKUP($A15,'MF-225'!$A$2:$BV$53,D$1,FALSE)</f>
        <v>126080</v>
      </c>
      <c r="E15">
        <f>VLOOKUP($A15,'MF-225'!$A$2:$BV$53,E$1,FALSE)</f>
        <v>130069</v>
      </c>
      <c r="F15">
        <f>VLOOKUP($A15,'MF-225'!$A$2:$BV$53,F$1,FALSE)</f>
        <v>164510</v>
      </c>
      <c r="G15">
        <f>VLOOKUP($A15,'MF-225'!$A$2:$BV$53,G$1,FALSE)</f>
        <v>160362</v>
      </c>
      <c r="H15">
        <f>VLOOKUP($A15,'MF-225'!$A$2:$BV$53,H$1,FALSE)</f>
        <v>169070</v>
      </c>
      <c r="I15">
        <f>VLOOKUP($A15,'MF-225'!$A$2:$BV$53,I$1,FALSE)</f>
        <v>189019</v>
      </c>
      <c r="J15">
        <f>VLOOKUP($A15,'MF-225'!$A$2:$BV$53,J$1,FALSE)</f>
        <v>220919</v>
      </c>
      <c r="K15">
        <f>VLOOKUP($A15,'MF-225'!$A$2:$BV$53,K$1,FALSE)</f>
        <v>185721</v>
      </c>
      <c r="L15">
        <f>VLOOKUP($A15,'MF-225'!$A$2:$BV$53,L$1,FALSE)</f>
        <v>215746</v>
      </c>
      <c r="M15">
        <f>VLOOKUP($A15,'MF-225'!$A$2:$BV$53,M$1,FALSE)</f>
        <v>216281</v>
      </c>
      <c r="N15">
        <f>VLOOKUP($A15,'MF-225'!$A$2:$BV$53,N$1,FALSE)</f>
        <v>219095</v>
      </c>
      <c r="O15">
        <f>VLOOKUP($A15,'MF-225'!$A$2:$BV$53,O$1,FALSE)</f>
        <v>224193</v>
      </c>
      <c r="P15">
        <f>VLOOKUP($A15,'MF-225'!$A$2:$BV$53,P$1,FALSE)</f>
        <v>230046</v>
      </c>
      <c r="Q15">
        <f>VLOOKUP($A15,'MF-225'!$A$2:$BV$53,Q$1,FALSE)</f>
        <v>239434</v>
      </c>
      <c r="R15">
        <f>VLOOKUP($A15,'MF-225'!$A$2:$BV$53,R$1,FALSE)</f>
        <v>251556</v>
      </c>
      <c r="S15">
        <f>VLOOKUP($A15,'MF-225'!$A$2:$BV$53,S$1,FALSE)</f>
        <v>264048</v>
      </c>
      <c r="T15">
        <f>VLOOKUP($A15,'MF-225'!$A$2:$BV$53,T$1,FALSE)</f>
        <v>277342</v>
      </c>
      <c r="U15">
        <f>VLOOKUP($A15,'MF-225'!$A$2:$BV$53,U$1,FALSE)</f>
        <v>246705.47900000002</v>
      </c>
      <c r="V15">
        <f>VLOOKUP($A15,'MF-225'!$A$2:$BV$53,V$1,FALSE)</f>
        <v>239542.82500000001</v>
      </c>
      <c r="W15">
        <f>VLOOKUP($A15,'MF-225'!$A$2:$BV$53,W$1,FALSE)</f>
        <v>256675.54300000003</v>
      </c>
      <c r="X15">
        <f>VLOOKUP($A15,'MF-225'!$A$2:$BV$53,X$1,FALSE)</f>
        <v>256598.91199999998</v>
      </c>
      <c r="Y15">
        <f>VLOOKUP($A15,'MF-225'!$A$2:$BV$53,Y$1,FALSE)</f>
        <v>258660.11</v>
      </c>
      <c r="Z15">
        <f>VLOOKUP($A15,'MF-225'!$A$2:$BV$53,Z$1,FALSE)</f>
        <v>263379</v>
      </c>
      <c r="AA15">
        <f>VLOOKUP($A15,'MF-225'!$A$2:$BV$53,AA$1,FALSE)</f>
        <v>265840</v>
      </c>
      <c r="AB15">
        <f>VLOOKUP($A15,'MF-225'!$A$2:$BV$53,AB$1,FALSE)</f>
        <v>287014</v>
      </c>
      <c r="AC15">
        <f>VLOOKUP($A15,'MF-225'!$A$2:$BV$53,AC$1,FALSE)</f>
        <v>302482</v>
      </c>
      <c r="AD15">
        <f>VLOOKUP($A15,'MF-225'!$A$2:$BV$53,AD$1,FALSE)</f>
        <v>305674</v>
      </c>
      <c r="AE15">
        <f>VLOOKUP($A15,'MF-225'!$A$2:$BV$53,AE$1,FALSE)</f>
        <v>314805</v>
      </c>
      <c r="AF15">
        <f>VLOOKUP($A15,'MF-225'!$A$2:$BV$53,AF$1,FALSE)</f>
        <v>327007</v>
      </c>
      <c r="AG15">
        <f>VLOOKUP($A15,'MF-225'!$A$2:$BV$53,AG$1,FALSE)</f>
        <v>344195</v>
      </c>
      <c r="AH15">
        <f>VLOOKUP($A15,'MF-225'!$A$2:$BV$53,AH$1,FALSE)</f>
        <v>372352</v>
      </c>
    </row>
    <row r="16" spans="1:34">
      <c r="A16" t="s">
        <v>13</v>
      </c>
      <c r="B16" t="str">
        <f>VLOOKUP(A16,'State Codes'!$C$10:$D$63,2,FALSE)</f>
        <v>IL</v>
      </c>
      <c r="C16">
        <f>VLOOKUP($A16,'MF-225'!$A$2:$BV$53,C$1,FALSE)</f>
        <v>959676</v>
      </c>
      <c r="D16">
        <f>VLOOKUP($A16,'MF-225'!$A$2:$BV$53,D$1,FALSE)</f>
        <v>886347</v>
      </c>
      <c r="E16">
        <f>VLOOKUP($A16,'MF-225'!$A$2:$BV$53,E$1,FALSE)</f>
        <v>918598</v>
      </c>
      <c r="F16">
        <f>VLOOKUP($A16,'MF-225'!$A$2:$BV$53,F$1,FALSE)</f>
        <v>1012353</v>
      </c>
      <c r="G16">
        <f>VLOOKUP($A16,'MF-225'!$A$2:$BV$53,G$1,FALSE)</f>
        <v>916486</v>
      </c>
      <c r="H16">
        <f>VLOOKUP($A16,'MF-225'!$A$2:$BV$53,H$1,FALSE)</f>
        <v>1124207</v>
      </c>
      <c r="I16">
        <f>VLOOKUP($A16,'MF-225'!$A$2:$BV$53,I$1,FALSE)</f>
        <v>1139346</v>
      </c>
      <c r="J16">
        <f>VLOOKUP($A16,'MF-225'!$A$2:$BV$53,J$1,FALSE)</f>
        <v>1469189</v>
      </c>
      <c r="K16">
        <f>VLOOKUP($A16,'MF-225'!$A$2:$BV$53,K$1,FALSE)</f>
        <v>1083273</v>
      </c>
      <c r="L16">
        <f>VLOOKUP($A16,'MF-225'!$A$2:$BV$53,L$1,FALSE)</f>
        <v>1297666</v>
      </c>
      <c r="M16">
        <f>VLOOKUP($A16,'MF-225'!$A$2:$BV$53,M$1,FALSE)</f>
        <v>1281151</v>
      </c>
      <c r="N16">
        <f>VLOOKUP($A16,'MF-225'!$A$2:$BV$53,N$1,FALSE)</f>
        <v>1247990</v>
      </c>
      <c r="O16">
        <f>VLOOKUP($A16,'MF-225'!$A$2:$BV$53,O$1,FALSE)</f>
        <v>1372781</v>
      </c>
      <c r="P16">
        <f>VLOOKUP($A16,'MF-225'!$A$2:$BV$53,P$1,FALSE)</f>
        <v>1407006</v>
      </c>
      <c r="Q16">
        <f>VLOOKUP($A16,'MF-225'!$A$2:$BV$53,Q$1,FALSE)</f>
        <v>1401432</v>
      </c>
      <c r="R16">
        <f>VLOOKUP($A16,'MF-225'!$A$2:$BV$53,R$1,FALSE)</f>
        <v>1502351</v>
      </c>
      <c r="S16">
        <f>VLOOKUP($A16,'MF-225'!$A$2:$BV$53,S$1,FALSE)</f>
        <v>1535719</v>
      </c>
      <c r="T16">
        <f>VLOOKUP($A16,'MF-225'!$A$2:$BV$53,T$1,FALSE)</f>
        <v>1558708</v>
      </c>
      <c r="U16">
        <f>VLOOKUP($A16,'MF-225'!$A$2:$BV$53,U$1,FALSE)</f>
        <v>1476699.165</v>
      </c>
      <c r="V16">
        <f>VLOOKUP($A16,'MF-225'!$A$2:$BV$53,V$1,FALSE)</f>
        <v>1399990.392</v>
      </c>
      <c r="W16">
        <f>VLOOKUP($A16,'MF-225'!$A$2:$BV$53,W$1,FALSE)</f>
        <v>1404219.6580000001</v>
      </c>
      <c r="X16">
        <f>VLOOKUP($A16,'MF-225'!$A$2:$BV$53,X$1,FALSE)</f>
        <v>1489532.4579999999</v>
      </c>
      <c r="Y16">
        <f>VLOOKUP($A16,'MF-225'!$A$2:$BV$53,Y$1,FALSE)</f>
        <v>1425227.054</v>
      </c>
      <c r="Z16">
        <f>VLOOKUP($A16,'MF-225'!$A$2:$BV$53,Z$1,FALSE)</f>
        <v>1489724</v>
      </c>
      <c r="AA16">
        <f>VLOOKUP($A16,'MF-225'!$A$2:$BV$53,AA$1,FALSE)</f>
        <v>1511375</v>
      </c>
      <c r="AB16">
        <f>VLOOKUP($A16,'MF-225'!$A$2:$BV$53,AB$1,FALSE)</f>
        <v>1681998</v>
      </c>
      <c r="AC16">
        <f>VLOOKUP($A16,'MF-225'!$A$2:$BV$53,AC$1,FALSE)</f>
        <v>1563512</v>
      </c>
      <c r="AD16">
        <f>VLOOKUP($A16,'MF-225'!$A$2:$BV$53,AD$1,FALSE)</f>
        <v>1616975</v>
      </c>
      <c r="AE16">
        <f>VLOOKUP($A16,'MF-225'!$A$2:$BV$53,AE$1,FALSE)</f>
        <v>1589933</v>
      </c>
      <c r="AF16">
        <f>VLOOKUP($A16,'MF-225'!$A$2:$BV$53,AF$1,FALSE)</f>
        <v>1521395</v>
      </c>
      <c r="AG16">
        <f>VLOOKUP($A16,'MF-225'!$A$2:$BV$53,AG$1,FALSE)</f>
        <v>1474228</v>
      </c>
      <c r="AH16">
        <f>VLOOKUP($A16,'MF-225'!$A$2:$BV$53,AH$1,FALSE)</f>
        <v>1546794</v>
      </c>
    </row>
    <row r="17" spans="1:34">
      <c r="A17" t="s">
        <v>14</v>
      </c>
      <c r="B17" t="str">
        <f>VLOOKUP(A17,'State Codes'!$C$10:$D$63,2,FALSE)</f>
        <v>IN</v>
      </c>
      <c r="C17">
        <f>VLOOKUP($A17,'MF-225'!$A$2:$BV$53,C$1,FALSE)</f>
        <v>704697</v>
      </c>
      <c r="D17">
        <f>VLOOKUP($A17,'MF-225'!$A$2:$BV$53,D$1,FALSE)</f>
        <v>731420</v>
      </c>
      <c r="E17">
        <f>VLOOKUP($A17,'MF-225'!$A$2:$BV$53,E$1,FALSE)</f>
        <v>760720</v>
      </c>
      <c r="F17">
        <f>VLOOKUP($A17,'MF-225'!$A$2:$BV$53,F$1,FALSE)</f>
        <v>855510</v>
      </c>
      <c r="G17">
        <f>VLOOKUP($A17,'MF-225'!$A$2:$BV$53,G$1,FALSE)</f>
        <v>925278</v>
      </c>
      <c r="H17">
        <f>VLOOKUP($A17,'MF-225'!$A$2:$BV$53,H$1,FALSE)</f>
        <v>928205</v>
      </c>
      <c r="I17">
        <f>VLOOKUP($A17,'MF-225'!$A$2:$BV$53,I$1,FALSE)</f>
        <v>941607</v>
      </c>
      <c r="J17">
        <f>VLOOKUP($A17,'MF-225'!$A$2:$BV$53,J$1,FALSE)</f>
        <v>1017641</v>
      </c>
      <c r="K17">
        <f>VLOOKUP($A17,'MF-225'!$A$2:$BV$53,K$1,FALSE)</f>
        <v>991703</v>
      </c>
      <c r="L17">
        <f>VLOOKUP($A17,'MF-225'!$A$2:$BV$53,L$1,FALSE)</f>
        <v>928144</v>
      </c>
      <c r="M17">
        <f>VLOOKUP($A17,'MF-225'!$A$2:$BV$53,M$1,FALSE)</f>
        <v>1276993</v>
      </c>
      <c r="N17">
        <f>VLOOKUP($A17,'MF-225'!$A$2:$BV$53,N$1,FALSE)</f>
        <v>980567</v>
      </c>
      <c r="O17">
        <f>VLOOKUP($A17,'MF-225'!$A$2:$BV$53,O$1,FALSE)</f>
        <v>1360322</v>
      </c>
      <c r="P17">
        <f>VLOOKUP($A17,'MF-225'!$A$2:$BV$53,P$1,FALSE)</f>
        <v>1161600</v>
      </c>
      <c r="Q17">
        <f>VLOOKUP($A17,'MF-225'!$A$2:$BV$53,Q$1,FALSE)</f>
        <v>1249988</v>
      </c>
      <c r="R17">
        <f>VLOOKUP($A17,'MF-225'!$A$2:$BV$53,R$1,FALSE)</f>
        <v>1329939</v>
      </c>
      <c r="S17">
        <f>VLOOKUP($A17,'MF-225'!$A$2:$BV$53,S$1,FALSE)</f>
        <v>1358806</v>
      </c>
      <c r="T17">
        <f>VLOOKUP($A17,'MF-225'!$A$2:$BV$53,T$1,FALSE)</f>
        <v>1383666</v>
      </c>
      <c r="U17">
        <f>VLOOKUP($A17,'MF-225'!$A$2:$BV$53,U$1,FALSE)</f>
        <v>1313018.4509999999</v>
      </c>
      <c r="V17">
        <f>VLOOKUP($A17,'MF-225'!$A$2:$BV$53,V$1,FALSE)</f>
        <v>1123661.1480000003</v>
      </c>
      <c r="W17">
        <f>VLOOKUP($A17,'MF-225'!$A$2:$BV$53,W$1,FALSE)</f>
        <v>1223101.5969999998</v>
      </c>
      <c r="X17">
        <f>VLOOKUP($A17,'MF-225'!$A$2:$BV$53,X$1,FALSE)</f>
        <v>1237699.5860000001</v>
      </c>
      <c r="Y17">
        <f>VLOOKUP($A17,'MF-225'!$A$2:$BV$53,Y$1,FALSE)</f>
        <v>1261203.5999999999</v>
      </c>
      <c r="Z17">
        <f>VLOOKUP($A17,'MF-225'!$A$2:$BV$53,Z$1,FALSE)</f>
        <v>1239805</v>
      </c>
      <c r="AA17">
        <f>VLOOKUP($A17,'MF-225'!$A$2:$BV$53,AA$1,FALSE)</f>
        <v>1289644</v>
      </c>
      <c r="AB17">
        <f>VLOOKUP($A17,'MF-225'!$A$2:$BV$53,AB$1,FALSE)</f>
        <v>1282887</v>
      </c>
      <c r="AC17">
        <f>VLOOKUP($A17,'MF-225'!$A$2:$BV$53,AC$1,FALSE)</f>
        <v>1267878</v>
      </c>
      <c r="AD17">
        <f>VLOOKUP($A17,'MF-225'!$A$2:$BV$53,AD$1,FALSE)</f>
        <v>1258350</v>
      </c>
      <c r="AE17">
        <f>VLOOKUP($A17,'MF-225'!$A$2:$BV$53,AE$1,FALSE)</f>
        <v>1239956</v>
      </c>
      <c r="AF17">
        <f>VLOOKUP($A17,'MF-225'!$A$2:$BV$53,AF$1,FALSE)</f>
        <v>1254793</v>
      </c>
      <c r="AG17">
        <f>VLOOKUP($A17,'MF-225'!$A$2:$BV$53,AG$1,FALSE)</f>
        <v>1217918</v>
      </c>
      <c r="AH17">
        <f>VLOOKUP($A17,'MF-225'!$A$2:$BV$53,AH$1,FALSE)</f>
        <v>1342757</v>
      </c>
    </row>
    <row r="18" spans="1:34">
      <c r="A18" t="s">
        <v>15</v>
      </c>
      <c r="B18" t="str">
        <f>VLOOKUP(A18,'State Codes'!$C$10:$D$63,2,FALSE)</f>
        <v>IA</v>
      </c>
      <c r="C18">
        <f>VLOOKUP($A18,'MF-225'!$A$2:$BV$53,C$1,FALSE)</f>
        <v>375714</v>
      </c>
      <c r="D18">
        <f>VLOOKUP($A18,'MF-225'!$A$2:$BV$53,D$1,FALSE)</f>
        <v>323632</v>
      </c>
      <c r="E18">
        <f>VLOOKUP($A18,'MF-225'!$A$2:$BV$53,E$1,FALSE)</f>
        <v>332503</v>
      </c>
      <c r="F18">
        <f>VLOOKUP($A18,'MF-225'!$A$2:$BV$53,F$1,FALSE)</f>
        <v>349270</v>
      </c>
      <c r="G18">
        <f>VLOOKUP($A18,'MF-225'!$A$2:$BV$53,G$1,FALSE)</f>
        <v>380575</v>
      </c>
      <c r="H18">
        <f>VLOOKUP($A18,'MF-225'!$A$2:$BV$53,H$1,FALSE)</f>
        <v>413885</v>
      </c>
      <c r="I18">
        <f>VLOOKUP($A18,'MF-225'!$A$2:$BV$53,I$1,FALSE)</f>
        <v>440561</v>
      </c>
      <c r="J18">
        <f>VLOOKUP($A18,'MF-225'!$A$2:$BV$53,J$1,FALSE)</f>
        <v>460066</v>
      </c>
      <c r="K18">
        <f>VLOOKUP($A18,'MF-225'!$A$2:$BV$53,K$1,FALSE)</f>
        <v>483052</v>
      </c>
      <c r="L18">
        <f>VLOOKUP($A18,'MF-225'!$A$2:$BV$53,L$1,FALSE)</f>
        <v>498225</v>
      </c>
      <c r="M18">
        <f>VLOOKUP($A18,'MF-225'!$A$2:$BV$53,M$1,FALSE)</f>
        <v>499373</v>
      </c>
      <c r="N18">
        <f>VLOOKUP($A18,'MF-225'!$A$2:$BV$53,N$1,FALSE)</f>
        <v>497299</v>
      </c>
      <c r="O18">
        <f>VLOOKUP($A18,'MF-225'!$A$2:$BV$53,O$1,FALSE)</f>
        <v>506818</v>
      </c>
      <c r="P18">
        <f>VLOOKUP($A18,'MF-225'!$A$2:$BV$53,P$1,FALSE)</f>
        <v>511804</v>
      </c>
      <c r="Q18">
        <f>VLOOKUP($A18,'MF-225'!$A$2:$BV$53,Q$1,FALSE)</f>
        <v>573739</v>
      </c>
      <c r="R18">
        <f>VLOOKUP($A18,'MF-225'!$A$2:$BV$53,R$1,FALSE)</f>
        <v>584549</v>
      </c>
      <c r="S18">
        <f>VLOOKUP($A18,'MF-225'!$A$2:$BV$53,S$1,FALSE)</f>
        <v>605515</v>
      </c>
      <c r="T18">
        <f>VLOOKUP($A18,'MF-225'!$A$2:$BV$53,T$1,FALSE)</f>
        <v>653815</v>
      </c>
      <c r="U18">
        <f>VLOOKUP($A18,'MF-225'!$A$2:$BV$53,U$1,FALSE)</f>
        <v>653096.16600000008</v>
      </c>
      <c r="V18">
        <f>VLOOKUP($A18,'MF-225'!$A$2:$BV$53,V$1,FALSE)</f>
        <v>609332.29700000002</v>
      </c>
      <c r="W18">
        <f>VLOOKUP($A18,'MF-225'!$A$2:$BV$53,W$1,FALSE)</f>
        <v>644522.99300000002</v>
      </c>
      <c r="X18">
        <f>VLOOKUP($A18,'MF-225'!$A$2:$BV$53,X$1,FALSE)</f>
        <v>653592.45900000003</v>
      </c>
      <c r="Y18">
        <f>VLOOKUP($A18,'MF-225'!$A$2:$BV$53,Y$1,FALSE)</f>
        <v>658411.49800000002</v>
      </c>
      <c r="Z18">
        <f>VLOOKUP($A18,'MF-225'!$A$2:$BV$53,Z$1,FALSE)</f>
        <v>664836</v>
      </c>
      <c r="AA18">
        <f>VLOOKUP($A18,'MF-225'!$A$2:$BV$53,AA$1,FALSE)</f>
        <v>685040</v>
      </c>
      <c r="AB18">
        <f>VLOOKUP($A18,'MF-225'!$A$2:$BV$53,AB$1,FALSE)</f>
        <v>673105</v>
      </c>
      <c r="AC18">
        <f>VLOOKUP($A18,'MF-225'!$A$2:$BV$53,AC$1,FALSE)</f>
        <v>689230</v>
      </c>
      <c r="AD18">
        <f>VLOOKUP($A18,'MF-225'!$A$2:$BV$53,AD$1,FALSE)</f>
        <v>706460</v>
      </c>
      <c r="AE18">
        <f>VLOOKUP($A18,'MF-225'!$A$2:$BV$53,AE$1,FALSE)</f>
        <v>710927</v>
      </c>
      <c r="AF18">
        <f>VLOOKUP($A18,'MF-225'!$A$2:$BV$53,AF$1,FALSE)</f>
        <v>735232</v>
      </c>
      <c r="AG18">
        <f>VLOOKUP($A18,'MF-225'!$A$2:$BV$53,AG$1,FALSE)</f>
        <v>757910</v>
      </c>
      <c r="AH18">
        <f>VLOOKUP($A18,'MF-225'!$A$2:$BV$53,AH$1,FALSE)</f>
        <v>756689</v>
      </c>
    </row>
    <row r="19" spans="1:34">
      <c r="A19" t="s">
        <v>16</v>
      </c>
      <c r="B19" t="str">
        <f>VLOOKUP(A19,'State Codes'!$C$10:$D$63,2,FALSE)</f>
        <v>KS</v>
      </c>
      <c r="C19">
        <f>VLOOKUP($A19,'MF-225'!$A$2:$BV$53,C$1,FALSE)</f>
        <v>314068</v>
      </c>
      <c r="D19">
        <f>VLOOKUP($A19,'MF-225'!$A$2:$BV$53,D$1,FALSE)</f>
        <v>279780</v>
      </c>
      <c r="E19">
        <f>VLOOKUP($A19,'MF-225'!$A$2:$BV$53,E$1,FALSE)</f>
        <v>265462</v>
      </c>
      <c r="F19">
        <f>VLOOKUP($A19,'MF-225'!$A$2:$BV$53,F$1,FALSE)</f>
        <v>321369</v>
      </c>
      <c r="G19">
        <f>VLOOKUP($A19,'MF-225'!$A$2:$BV$53,G$1,FALSE)</f>
        <v>300388</v>
      </c>
      <c r="H19">
        <f>VLOOKUP($A19,'MF-225'!$A$2:$BV$53,H$1,FALSE)</f>
        <v>345863</v>
      </c>
      <c r="I19">
        <f>VLOOKUP($A19,'MF-225'!$A$2:$BV$53,I$1,FALSE)</f>
        <v>355350</v>
      </c>
      <c r="J19">
        <f>VLOOKUP($A19,'MF-225'!$A$2:$BV$53,J$1,FALSE)</f>
        <v>380978</v>
      </c>
      <c r="K19">
        <f>VLOOKUP($A19,'MF-225'!$A$2:$BV$53,K$1,FALSE)</f>
        <v>374223</v>
      </c>
      <c r="L19">
        <f>VLOOKUP($A19,'MF-225'!$A$2:$BV$53,L$1,FALSE)</f>
        <v>380258</v>
      </c>
      <c r="M19">
        <f>VLOOKUP($A19,'MF-225'!$A$2:$BV$53,M$1,FALSE)</f>
        <v>361628</v>
      </c>
      <c r="N19">
        <f>VLOOKUP($A19,'MF-225'!$A$2:$BV$53,N$1,FALSE)</f>
        <v>368065</v>
      </c>
      <c r="O19">
        <f>VLOOKUP($A19,'MF-225'!$A$2:$BV$53,O$1,FALSE)</f>
        <v>407161</v>
      </c>
      <c r="P19">
        <f>VLOOKUP($A19,'MF-225'!$A$2:$BV$53,P$1,FALSE)</f>
        <v>404905</v>
      </c>
      <c r="Q19">
        <f>VLOOKUP($A19,'MF-225'!$A$2:$BV$53,Q$1,FALSE)</f>
        <v>414791</v>
      </c>
      <c r="R19">
        <f>VLOOKUP($A19,'MF-225'!$A$2:$BV$53,R$1,FALSE)</f>
        <v>422908</v>
      </c>
      <c r="S19">
        <f>VLOOKUP($A19,'MF-225'!$A$2:$BV$53,S$1,FALSE)</f>
        <v>434744</v>
      </c>
      <c r="T19">
        <f>VLOOKUP($A19,'MF-225'!$A$2:$BV$53,T$1,FALSE)</f>
        <v>480028</v>
      </c>
      <c r="U19">
        <f>VLOOKUP($A19,'MF-225'!$A$2:$BV$53,U$1,FALSE)</f>
        <v>481991.18799999997</v>
      </c>
      <c r="V19">
        <f>VLOOKUP($A19,'MF-225'!$A$2:$BV$53,V$1,FALSE)</f>
        <v>441841.06000000006</v>
      </c>
      <c r="W19">
        <f>VLOOKUP($A19,'MF-225'!$A$2:$BV$53,W$1,FALSE)</f>
        <v>477025.223</v>
      </c>
      <c r="X19">
        <f>VLOOKUP($A19,'MF-225'!$A$2:$BV$53,X$1,FALSE)</f>
        <v>468473.67700000003</v>
      </c>
      <c r="Y19">
        <f>VLOOKUP($A19,'MF-225'!$A$2:$BV$53,Y$1,FALSE)</f>
        <v>475257.91200000001</v>
      </c>
      <c r="Z19">
        <f>VLOOKUP($A19,'MF-225'!$A$2:$BV$53,Z$1,FALSE)</f>
        <v>487991</v>
      </c>
      <c r="AA19">
        <f>VLOOKUP($A19,'MF-225'!$A$2:$BV$53,AA$1,FALSE)</f>
        <v>499389</v>
      </c>
      <c r="AB19">
        <f>VLOOKUP($A19,'MF-225'!$A$2:$BV$53,AB$1,FALSE)</f>
        <v>514386</v>
      </c>
      <c r="AC19">
        <f>VLOOKUP($A19,'MF-225'!$A$2:$BV$53,AC$1,FALSE)</f>
        <v>467225</v>
      </c>
      <c r="AD19">
        <f>VLOOKUP($A19,'MF-225'!$A$2:$BV$53,AD$1,FALSE)</f>
        <v>431490</v>
      </c>
      <c r="AE19">
        <f>VLOOKUP($A19,'MF-225'!$A$2:$BV$53,AE$1,FALSE)</f>
        <v>479360</v>
      </c>
      <c r="AF19">
        <f>VLOOKUP($A19,'MF-225'!$A$2:$BV$53,AF$1,FALSE)</f>
        <v>502670</v>
      </c>
      <c r="AG19">
        <f>VLOOKUP($A19,'MF-225'!$A$2:$BV$53,AG$1,FALSE)</f>
        <v>510307</v>
      </c>
      <c r="AH19">
        <f>VLOOKUP($A19,'MF-225'!$A$2:$BV$53,AH$1,FALSE)</f>
        <v>527436</v>
      </c>
    </row>
    <row r="20" spans="1:34">
      <c r="A20" t="s">
        <v>17</v>
      </c>
      <c r="B20" t="str">
        <f>VLOOKUP(A20,'State Codes'!$C$10:$D$63,2,FALSE)</f>
        <v>KY</v>
      </c>
      <c r="C20">
        <f>VLOOKUP($A20,'MF-225'!$A$2:$BV$53,C$1,FALSE)</f>
        <v>489652</v>
      </c>
      <c r="D20">
        <f>VLOOKUP($A20,'MF-225'!$A$2:$BV$53,D$1,FALSE)</f>
        <v>418777</v>
      </c>
      <c r="E20">
        <f>VLOOKUP($A20,'MF-225'!$A$2:$BV$53,E$1,FALSE)</f>
        <v>539012</v>
      </c>
      <c r="F20">
        <f>VLOOKUP($A20,'MF-225'!$A$2:$BV$53,F$1,FALSE)</f>
        <v>625068</v>
      </c>
      <c r="G20">
        <f>VLOOKUP($A20,'MF-225'!$A$2:$BV$53,G$1,FALSE)</f>
        <v>590579</v>
      </c>
      <c r="H20">
        <f>VLOOKUP($A20,'MF-225'!$A$2:$BV$53,H$1,FALSE)</f>
        <v>582114</v>
      </c>
      <c r="I20">
        <f>VLOOKUP($A20,'MF-225'!$A$2:$BV$53,I$1,FALSE)</f>
        <v>598537</v>
      </c>
      <c r="J20">
        <f>VLOOKUP($A20,'MF-225'!$A$2:$BV$53,J$1,FALSE)</f>
        <v>684634</v>
      </c>
      <c r="K20">
        <f>VLOOKUP($A20,'MF-225'!$A$2:$BV$53,K$1,FALSE)</f>
        <v>707204</v>
      </c>
      <c r="L20">
        <f>VLOOKUP($A20,'MF-225'!$A$2:$BV$53,L$1,FALSE)</f>
        <v>703740</v>
      </c>
      <c r="M20">
        <f>VLOOKUP($A20,'MF-225'!$A$2:$BV$53,M$1,FALSE)</f>
        <v>829597</v>
      </c>
      <c r="N20">
        <f>VLOOKUP($A20,'MF-225'!$A$2:$BV$53,N$1,FALSE)</f>
        <v>814484</v>
      </c>
      <c r="O20">
        <f>VLOOKUP($A20,'MF-225'!$A$2:$BV$53,O$1,FALSE)</f>
        <v>913880</v>
      </c>
      <c r="P20">
        <f>VLOOKUP($A20,'MF-225'!$A$2:$BV$53,P$1,FALSE)</f>
        <v>789531</v>
      </c>
      <c r="Q20">
        <f>VLOOKUP($A20,'MF-225'!$A$2:$BV$53,Q$1,FALSE)</f>
        <v>857083</v>
      </c>
      <c r="R20">
        <f>VLOOKUP($A20,'MF-225'!$A$2:$BV$53,R$1,FALSE)</f>
        <v>867249</v>
      </c>
      <c r="S20">
        <f>VLOOKUP($A20,'MF-225'!$A$2:$BV$53,S$1,FALSE)</f>
        <v>888901</v>
      </c>
      <c r="T20">
        <f>VLOOKUP($A20,'MF-225'!$A$2:$BV$53,T$1,FALSE)</f>
        <v>876018</v>
      </c>
      <c r="U20">
        <f>VLOOKUP($A20,'MF-225'!$A$2:$BV$53,U$1,FALSE)</f>
        <v>822183.20600000012</v>
      </c>
      <c r="V20">
        <f>VLOOKUP($A20,'MF-225'!$A$2:$BV$53,V$1,FALSE)</f>
        <v>743716.71199999994</v>
      </c>
      <c r="W20">
        <f>VLOOKUP($A20,'MF-225'!$A$2:$BV$53,W$1,FALSE)</f>
        <v>785917.92299999995</v>
      </c>
      <c r="X20">
        <f>VLOOKUP($A20,'MF-225'!$A$2:$BV$53,X$1,FALSE)</f>
        <v>773103.66500000004</v>
      </c>
      <c r="Y20">
        <f>VLOOKUP($A20,'MF-225'!$A$2:$BV$53,Y$1,FALSE)</f>
        <v>767627.71700000006</v>
      </c>
      <c r="Z20">
        <f>VLOOKUP($A20,'MF-225'!$A$2:$BV$53,Z$1,FALSE)</f>
        <v>741938</v>
      </c>
      <c r="AA20">
        <f>VLOOKUP($A20,'MF-225'!$A$2:$BV$53,AA$1,FALSE)</f>
        <v>801861</v>
      </c>
      <c r="AB20">
        <f>VLOOKUP($A20,'MF-225'!$A$2:$BV$53,AB$1,FALSE)</f>
        <v>772483</v>
      </c>
      <c r="AC20">
        <f>VLOOKUP($A20,'MF-225'!$A$2:$BV$53,AC$1,FALSE)</f>
        <v>779917</v>
      </c>
      <c r="AD20">
        <f>VLOOKUP($A20,'MF-225'!$A$2:$BV$53,AD$1,FALSE)</f>
        <v>808897</v>
      </c>
      <c r="AE20">
        <f>VLOOKUP($A20,'MF-225'!$A$2:$BV$53,AE$1,FALSE)</f>
        <v>825713</v>
      </c>
      <c r="AF20">
        <f>VLOOKUP($A20,'MF-225'!$A$2:$BV$53,AF$1,FALSE)</f>
        <v>811703</v>
      </c>
      <c r="AG20">
        <f>VLOOKUP($A20,'MF-225'!$A$2:$BV$53,AG$1,FALSE)</f>
        <v>780516</v>
      </c>
      <c r="AH20">
        <f>VLOOKUP($A20,'MF-225'!$A$2:$BV$53,AH$1,FALSE)</f>
        <v>859033</v>
      </c>
    </row>
    <row r="21" spans="1:34">
      <c r="A21" t="s">
        <v>18</v>
      </c>
      <c r="B21" t="str">
        <f>VLOOKUP(A21,'State Codes'!$C$10:$D$63,2,FALSE)</f>
        <v>LA</v>
      </c>
      <c r="C21">
        <f>VLOOKUP($A21,'MF-225'!$A$2:$BV$53,C$1,FALSE)</f>
        <v>374598</v>
      </c>
      <c r="D21">
        <f>VLOOKUP($A21,'MF-225'!$A$2:$BV$53,D$1,FALSE)</f>
        <v>370942</v>
      </c>
      <c r="E21">
        <f>VLOOKUP($A21,'MF-225'!$A$2:$BV$53,E$1,FALSE)</f>
        <v>351535</v>
      </c>
      <c r="F21">
        <f>VLOOKUP($A21,'MF-225'!$A$2:$BV$53,F$1,FALSE)</f>
        <v>409664</v>
      </c>
      <c r="G21">
        <f>VLOOKUP($A21,'MF-225'!$A$2:$BV$53,G$1,FALSE)</f>
        <v>446748</v>
      </c>
      <c r="H21">
        <f>VLOOKUP($A21,'MF-225'!$A$2:$BV$53,H$1,FALSE)</f>
        <v>484935</v>
      </c>
      <c r="I21">
        <f>VLOOKUP($A21,'MF-225'!$A$2:$BV$53,I$1,FALSE)</f>
        <v>511637</v>
      </c>
      <c r="J21">
        <f>VLOOKUP($A21,'MF-225'!$A$2:$BV$53,J$1,FALSE)</f>
        <v>528757</v>
      </c>
      <c r="K21">
        <f>VLOOKUP($A21,'MF-225'!$A$2:$BV$53,K$1,FALSE)</f>
        <v>544456</v>
      </c>
      <c r="L21">
        <f>VLOOKUP($A21,'MF-225'!$A$2:$BV$53,L$1,FALSE)</f>
        <v>588447</v>
      </c>
      <c r="M21">
        <f>VLOOKUP($A21,'MF-225'!$A$2:$BV$53,M$1,FALSE)</f>
        <v>582165</v>
      </c>
      <c r="N21">
        <f>VLOOKUP($A21,'MF-225'!$A$2:$BV$53,N$1,FALSE)</f>
        <v>602201</v>
      </c>
      <c r="O21">
        <f>VLOOKUP($A21,'MF-225'!$A$2:$BV$53,O$1,FALSE)</f>
        <v>588479</v>
      </c>
      <c r="P21">
        <f>VLOOKUP($A21,'MF-225'!$A$2:$BV$53,P$1,FALSE)</f>
        <v>638509</v>
      </c>
      <c r="Q21">
        <f>VLOOKUP($A21,'MF-225'!$A$2:$BV$53,Q$1,FALSE)</f>
        <v>662270</v>
      </c>
      <c r="R21">
        <f>VLOOKUP($A21,'MF-225'!$A$2:$BV$53,R$1,FALSE)</f>
        <v>689064</v>
      </c>
      <c r="S21">
        <f>VLOOKUP($A21,'MF-225'!$A$2:$BV$53,S$1,FALSE)</f>
        <v>784876</v>
      </c>
      <c r="T21">
        <f>VLOOKUP($A21,'MF-225'!$A$2:$BV$53,T$1,FALSE)</f>
        <v>707188</v>
      </c>
      <c r="U21">
        <f>VLOOKUP($A21,'MF-225'!$A$2:$BV$53,U$1,FALSE)</f>
        <v>698584.86699999997</v>
      </c>
      <c r="V21">
        <f>VLOOKUP($A21,'MF-225'!$A$2:$BV$53,V$1,FALSE)</f>
        <v>700163.87699999998</v>
      </c>
      <c r="W21">
        <f>VLOOKUP($A21,'MF-225'!$A$2:$BV$53,W$1,FALSE)</f>
        <v>738515.99399999995</v>
      </c>
      <c r="X21">
        <f>VLOOKUP($A21,'MF-225'!$A$2:$BV$53,X$1,FALSE)</f>
        <v>756451.16299999994</v>
      </c>
      <c r="Y21">
        <f>VLOOKUP($A21,'MF-225'!$A$2:$BV$53,Y$1,FALSE)</f>
        <v>675030.23800000001</v>
      </c>
      <c r="Z21">
        <f>VLOOKUP($A21,'MF-225'!$A$2:$BV$53,Z$1,FALSE)</f>
        <v>680070</v>
      </c>
      <c r="AA21">
        <f>VLOOKUP($A21,'MF-225'!$A$2:$BV$53,AA$1,FALSE)</f>
        <v>674816</v>
      </c>
      <c r="AB21">
        <f>VLOOKUP($A21,'MF-225'!$A$2:$BV$53,AB$1,FALSE)</f>
        <v>726422</v>
      </c>
      <c r="AC21">
        <f>VLOOKUP($A21,'MF-225'!$A$2:$BV$53,AC$1,FALSE)</f>
        <v>696992</v>
      </c>
      <c r="AD21">
        <f>VLOOKUP($A21,'MF-225'!$A$2:$BV$53,AD$1,FALSE)</f>
        <v>690730</v>
      </c>
      <c r="AE21">
        <f>VLOOKUP($A21,'MF-225'!$A$2:$BV$53,AE$1,FALSE)</f>
        <v>668177</v>
      </c>
      <c r="AF21">
        <f>VLOOKUP($A21,'MF-225'!$A$2:$BV$53,AF$1,FALSE)</f>
        <v>757322</v>
      </c>
      <c r="AG21">
        <f>VLOOKUP($A21,'MF-225'!$A$2:$BV$53,AG$1,FALSE)</f>
        <v>674077</v>
      </c>
      <c r="AH21">
        <f>VLOOKUP($A21,'MF-225'!$A$2:$BV$53,AH$1,FALSE)</f>
        <v>784823</v>
      </c>
    </row>
    <row r="22" spans="1:34">
      <c r="A22" t="s">
        <v>19</v>
      </c>
      <c r="B22" t="str">
        <f>VLOOKUP(A22,'State Codes'!$C$10:$D$63,2,FALSE)</f>
        <v>ME</v>
      </c>
      <c r="C22">
        <f>VLOOKUP($A22,'MF-225'!$A$2:$BV$53,C$1,FALSE)</f>
        <v>111379</v>
      </c>
      <c r="D22">
        <f>VLOOKUP($A22,'MF-225'!$A$2:$BV$53,D$1,FALSE)</f>
        <v>106743</v>
      </c>
      <c r="E22">
        <f>VLOOKUP($A22,'MF-225'!$A$2:$BV$53,E$1,FALSE)</f>
        <v>114339</v>
      </c>
      <c r="F22">
        <f>VLOOKUP($A22,'MF-225'!$A$2:$BV$53,F$1,FALSE)</f>
        <v>115512</v>
      </c>
      <c r="G22">
        <f>VLOOKUP($A22,'MF-225'!$A$2:$BV$53,G$1,FALSE)</f>
        <v>129520</v>
      </c>
      <c r="H22">
        <f>VLOOKUP($A22,'MF-225'!$A$2:$BV$53,H$1,FALSE)</f>
        <v>130722</v>
      </c>
      <c r="I22">
        <f>VLOOKUP($A22,'MF-225'!$A$2:$BV$53,I$1,FALSE)</f>
        <v>136197</v>
      </c>
      <c r="J22">
        <f>VLOOKUP($A22,'MF-225'!$A$2:$BV$53,J$1,FALSE)</f>
        <v>139279</v>
      </c>
      <c r="K22">
        <f>VLOOKUP($A22,'MF-225'!$A$2:$BV$53,K$1,FALSE)</f>
        <v>136070</v>
      </c>
      <c r="L22">
        <f>VLOOKUP($A22,'MF-225'!$A$2:$BV$53,L$1,FALSE)</f>
        <v>149471</v>
      </c>
      <c r="M22">
        <f>VLOOKUP($A22,'MF-225'!$A$2:$BV$53,M$1,FALSE)</f>
        <v>166196</v>
      </c>
      <c r="N22">
        <f>VLOOKUP($A22,'MF-225'!$A$2:$BV$53,N$1,FALSE)</f>
        <v>157976</v>
      </c>
      <c r="O22">
        <f>VLOOKUP($A22,'MF-225'!$A$2:$BV$53,O$1,FALSE)</f>
        <v>168390</v>
      </c>
      <c r="P22">
        <f>VLOOKUP($A22,'MF-225'!$A$2:$BV$53,P$1,FALSE)</f>
        <v>202838</v>
      </c>
      <c r="Q22">
        <f>VLOOKUP($A22,'MF-225'!$A$2:$BV$53,Q$1,FALSE)</f>
        <v>175355</v>
      </c>
      <c r="R22">
        <f>VLOOKUP($A22,'MF-225'!$A$2:$BV$53,R$1,FALSE)</f>
        <v>186359</v>
      </c>
      <c r="S22">
        <f>VLOOKUP($A22,'MF-225'!$A$2:$BV$53,S$1,FALSE)</f>
        <v>188426</v>
      </c>
      <c r="T22">
        <f>VLOOKUP($A22,'MF-225'!$A$2:$BV$53,T$1,FALSE)</f>
        <v>190990</v>
      </c>
      <c r="U22">
        <f>VLOOKUP($A22,'MF-225'!$A$2:$BV$53,U$1,FALSE)</f>
        <v>192054.633</v>
      </c>
      <c r="V22">
        <f>VLOOKUP($A22,'MF-225'!$A$2:$BV$53,V$1,FALSE)</f>
        <v>198393.97999999995</v>
      </c>
      <c r="W22">
        <f>VLOOKUP($A22,'MF-225'!$A$2:$BV$53,W$1,FALSE)</f>
        <v>186101.16199999998</v>
      </c>
      <c r="X22">
        <f>VLOOKUP($A22,'MF-225'!$A$2:$BV$53,X$1,FALSE)</f>
        <v>190107.53300000002</v>
      </c>
      <c r="Y22">
        <f>VLOOKUP($A22,'MF-225'!$A$2:$BV$53,Y$1,FALSE)</f>
        <v>189575.37700000001</v>
      </c>
      <c r="Z22">
        <f>VLOOKUP($A22,'MF-225'!$A$2:$BV$53,Z$1,FALSE)</f>
        <v>201273</v>
      </c>
      <c r="AA22">
        <f>VLOOKUP($A22,'MF-225'!$A$2:$BV$53,AA$1,FALSE)</f>
        <v>180943</v>
      </c>
      <c r="AB22">
        <f>VLOOKUP($A22,'MF-225'!$A$2:$BV$53,AB$1,FALSE)</f>
        <v>192416</v>
      </c>
      <c r="AC22">
        <f>VLOOKUP($A22,'MF-225'!$A$2:$BV$53,AC$1,FALSE)</f>
        <v>193452</v>
      </c>
      <c r="AD22">
        <f>VLOOKUP($A22,'MF-225'!$A$2:$BV$53,AD$1,FALSE)</f>
        <v>238750</v>
      </c>
      <c r="AE22">
        <f>VLOOKUP($A22,'MF-225'!$A$2:$BV$53,AE$1,FALSE)</f>
        <v>180116</v>
      </c>
      <c r="AF22">
        <f>VLOOKUP($A22,'MF-225'!$A$2:$BV$53,AF$1,FALSE)</f>
        <v>180116</v>
      </c>
      <c r="AG22">
        <f>VLOOKUP($A22,'MF-225'!$A$2:$BV$53,AG$1,FALSE)</f>
        <v>180304</v>
      </c>
      <c r="AH22">
        <f>VLOOKUP($A22,'MF-225'!$A$2:$BV$53,AH$1,FALSE)</f>
        <v>172459</v>
      </c>
    </row>
    <row r="23" spans="1:34">
      <c r="A23" t="s">
        <v>20</v>
      </c>
      <c r="B23" t="str">
        <f>VLOOKUP(A23,'State Codes'!$C$10:$D$63,2,FALSE)</f>
        <v>MD</v>
      </c>
      <c r="C23">
        <f>VLOOKUP($A23,'MF-225'!$A$2:$BV$53,C$1,FALSE)</f>
        <v>354729</v>
      </c>
      <c r="D23">
        <f>VLOOKUP($A23,'MF-225'!$A$2:$BV$53,D$1,FALSE)</f>
        <v>331002</v>
      </c>
      <c r="E23">
        <f>VLOOKUP($A23,'MF-225'!$A$2:$BV$53,E$1,FALSE)</f>
        <v>345063</v>
      </c>
      <c r="F23">
        <f>VLOOKUP($A23,'MF-225'!$A$2:$BV$53,F$1,FALSE)</f>
        <v>343339</v>
      </c>
      <c r="G23">
        <f>VLOOKUP($A23,'MF-225'!$A$2:$BV$53,G$1,FALSE)</f>
        <v>310950</v>
      </c>
      <c r="H23">
        <f>VLOOKUP($A23,'MF-225'!$A$2:$BV$53,H$1,FALSE)</f>
        <v>325971</v>
      </c>
      <c r="I23">
        <f>VLOOKUP($A23,'MF-225'!$A$2:$BV$53,I$1,FALSE)</f>
        <v>357665</v>
      </c>
      <c r="J23">
        <f>VLOOKUP($A23,'MF-225'!$A$2:$BV$53,J$1,FALSE)</f>
        <v>418054</v>
      </c>
      <c r="K23">
        <f>VLOOKUP($A23,'MF-225'!$A$2:$BV$53,K$1,FALSE)</f>
        <v>427949</v>
      </c>
      <c r="L23">
        <f>VLOOKUP($A23,'MF-225'!$A$2:$BV$53,L$1,FALSE)</f>
        <v>488744</v>
      </c>
      <c r="M23">
        <f>VLOOKUP($A23,'MF-225'!$A$2:$BV$53,M$1,FALSE)</f>
        <v>501242</v>
      </c>
      <c r="N23">
        <f>VLOOKUP($A23,'MF-225'!$A$2:$BV$53,N$1,FALSE)</f>
        <v>501821</v>
      </c>
      <c r="O23">
        <f>VLOOKUP($A23,'MF-225'!$A$2:$BV$53,O$1,FALSE)</f>
        <v>504070</v>
      </c>
      <c r="P23">
        <f>VLOOKUP($A23,'MF-225'!$A$2:$BV$53,P$1,FALSE)</f>
        <v>511916</v>
      </c>
      <c r="Q23">
        <f>VLOOKUP($A23,'MF-225'!$A$2:$BV$53,Q$1,FALSE)</f>
        <v>541091</v>
      </c>
      <c r="R23">
        <f>VLOOKUP($A23,'MF-225'!$A$2:$BV$53,R$1,FALSE)</f>
        <v>565728</v>
      </c>
      <c r="S23">
        <f>VLOOKUP($A23,'MF-225'!$A$2:$BV$53,S$1,FALSE)</f>
        <v>562925</v>
      </c>
      <c r="T23">
        <f>VLOOKUP($A23,'MF-225'!$A$2:$BV$53,T$1,FALSE)</f>
        <v>576988</v>
      </c>
      <c r="U23">
        <f>VLOOKUP($A23,'MF-225'!$A$2:$BV$53,U$1,FALSE)</f>
        <v>535014.93400000012</v>
      </c>
      <c r="V23">
        <f>VLOOKUP($A23,'MF-225'!$A$2:$BV$53,V$1,FALSE)</f>
        <v>519838.09200000006</v>
      </c>
      <c r="W23">
        <f>VLOOKUP($A23,'MF-225'!$A$2:$BV$53,W$1,FALSE)</f>
        <v>524617.14800000004</v>
      </c>
      <c r="X23">
        <f>VLOOKUP($A23,'MF-225'!$A$2:$BV$53,X$1,FALSE)</f>
        <v>507017.74</v>
      </c>
      <c r="Y23">
        <f>VLOOKUP($A23,'MF-225'!$A$2:$BV$53,Y$1,FALSE)</f>
        <v>509605.39699999994</v>
      </c>
      <c r="Z23">
        <f>VLOOKUP($A23,'MF-225'!$A$2:$BV$53,Z$1,FALSE)</f>
        <v>487783</v>
      </c>
      <c r="AA23">
        <f>VLOOKUP($A23,'MF-225'!$A$2:$BV$53,AA$1,FALSE)</f>
        <v>520116</v>
      </c>
      <c r="AB23">
        <f>VLOOKUP($A23,'MF-225'!$A$2:$BV$53,AB$1,FALSE)</f>
        <v>536130</v>
      </c>
      <c r="AC23">
        <f>VLOOKUP($A23,'MF-225'!$A$2:$BV$53,AC$1,FALSE)</f>
        <v>536726</v>
      </c>
      <c r="AD23">
        <f>VLOOKUP($A23,'MF-225'!$A$2:$BV$53,AD$1,FALSE)</f>
        <v>532306</v>
      </c>
      <c r="AE23">
        <f>VLOOKUP($A23,'MF-225'!$A$2:$BV$53,AE$1,FALSE)</f>
        <v>522623</v>
      </c>
      <c r="AF23">
        <f>VLOOKUP($A23,'MF-225'!$A$2:$BV$53,AF$1,FALSE)</f>
        <v>550738</v>
      </c>
      <c r="AG23">
        <f>VLOOKUP($A23,'MF-225'!$A$2:$BV$53,AG$1,FALSE)</f>
        <v>503355</v>
      </c>
      <c r="AH23">
        <f>VLOOKUP($A23,'MF-225'!$A$2:$BV$53,AH$1,FALSE)</f>
        <v>551576</v>
      </c>
    </row>
    <row r="24" spans="1:34">
      <c r="A24" t="s">
        <v>84</v>
      </c>
      <c r="B24" t="str">
        <f>VLOOKUP(A24,'State Codes'!$C$10:$D$63,2,FALSE)</f>
        <v>MA</v>
      </c>
      <c r="C24">
        <f>VLOOKUP($A24,'MF-225'!$A$2:$BV$53,C$1,FALSE)</f>
        <v>267438</v>
      </c>
      <c r="D24">
        <f>VLOOKUP($A24,'MF-225'!$A$2:$BV$53,D$1,FALSE)</f>
        <v>246781</v>
      </c>
      <c r="E24">
        <f>VLOOKUP($A24,'MF-225'!$A$2:$BV$53,E$1,FALSE)</f>
        <v>254322</v>
      </c>
      <c r="F24">
        <f>VLOOKUP($A24,'MF-225'!$A$2:$BV$53,F$1,FALSE)</f>
        <v>271406</v>
      </c>
      <c r="G24">
        <f>VLOOKUP($A24,'MF-225'!$A$2:$BV$53,G$1,FALSE)</f>
        <v>297749</v>
      </c>
      <c r="H24">
        <f>VLOOKUP($A24,'MF-225'!$A$2:$BV$53,H$1,FALSE)</f>
        <v>317000</v>
      </c>
      <c r="I24">
        <f>VLOOKUP($A24,'MF-225'!$A$2:$BV$53,I$1,FALSE)</f>
        <v>315829</v>
      </c>
      <c r="J24">
        <f>VLOOKUP($A24,'MF-225'!$A$2:$BV$53,J$1,FALSE)</f>
        <v>345363</v>
      </c>
      <c r="K24">
        <f>VLOOKUP($A24,'MF-225'!$A$2:$BV$53,K$1,FALSE)</f>
        <v>358198</v>
      </c>
      <c r="L24">
        <f>VLOOKUP($A24,'MF-225'!$A$2:$BV$53,L$1,FALSE)</f>
        <v>378060</v>
      </c>
      <c r="M24">
        <f>VLOOKUP($A24,'MF-225'!$A$2:$BV$53,M$1,FALSE)</f>
        <v>408092</v>
      </c>
      <c r="N24">
        <f>VLOOKUP($A24,'MF-225'!$A$2:$BV$53,N$1,FALSE)</f>
        <v>401507</v>
      </c>
      <c r="O24">
        <f>VLOOKUP($A24,'MF-225'!$A$2:$BV$53,O$1,FALSE)</f>
        <v>398721</v>
      </c>
      <c r="P24">
        <f>VLOOKUP($A24,'MF-225'!$A$2:$BV$53,P$1,FALSE)</f>
        <v>414409</v>
      </c>
      <c r="Q24">
        <f>VLOOKUP($A24,'MF-225'!$A$2:$BV$53,Q$1,FALSE)</f>
        <v>425034</v>
      </c>
      <c r="R24">
        <f>VLOOKUP($A24,'MF-225'!$A$2:$BV$53,R$1,FALSE)</f>
        <v>422653</v>
      </c>
      <c r="S24">
        <f>VLOOKUP($A24,'MF-225'!$A$2:$BV$53,S$1,FALSE)</f>
        <v>396090</v>
      </c>
      <c r="T24">
        <f>VLOOKUP($A24,'MF-225'!$A$2:$BV$53,T$1,FALSE)</f>
        <v>405019</v>
      </c>
      <c r="U24">
        <f>VLOOKUP($A24,'MF-225'!$A$2:$BV$53,U$1,FALSE)</f>
        <v>380899.14200000005</v>
      </c>
      <c r="V24">
        <f>VLOOKUP($A24,'MF-225'!$A$2:$BV$53,V$1,FALSE)</f>
        <v>403082.33500000002</v>
      </c>
      <c r="W24">
        <f>VLOOKUP($A24,'MF-225'!$A$2:$BV$53,W$1,FALSE)</f>
        <v>398474.32500000001</v>
      </c>
      <c r="X24">
        <f>VLOOKUP($A24,'MF-225'!$A$2:$BV$53,X$1,FALSE)</f>
        <v>414607.24400000006</v>
      </c>
      <c r="Y24">
        <f>VLOOKUP($A24,'MF-225'!$A$2:$BV$53,Y$1,FALSE)</f>
        <v>423269.14699999994</v>
      </c>
      <c r="Z24">
        <f>VLOOKUP($A24,'MF-225'!$A$2:$BV$53,Z$1,FALSE)</f>
        <v>503686</v>
      </c>
      <c r="AA24">
        <f>VLOOKUP($A24,'MF-225'!$A$2:$BV$53,AA$1,FALSE)</f>
        <v>417000</v>
      </c>
      <c r="AB24">
        <f>VLOOKUP($A24,'MF-225'!$A$2:$BV$53,AB$1,FALSE)</f>
        <v>442132</v>
      </c>
      <c r="AC24">
        <f>VLOOKUP($A24,'MF-225'!$A$2:$BV$53,AC$1,FALSE)</f>
        <v>451241</v>
      </c>
      <c r="AD24">
        <f>VLOOKUP($A24,'MF-225'!$A$2:$BV$53,AD$1,FALSE)</f>
        <v>438001</v>
      </c>
      <c r="AE24">
        <f>VLOOKUP($A24,'MF-225'!$A$2:$BV$53,AE$1,FALSE)</f>
        <v>438727</v>
      </c>
      <c r="AF24">
        <f>VLOOKUP($A24,'MF-225'!$A$2:$BV$53,AF$1,FALSE)</f>
        <v>452669</v>
      </c>
      <c r="AG24">
        <f>VLOOKUP($A24,'MF-225'!$A$2:$BV$53,AG$1,FALSE)</f>
        <v>399488</v>
      </c>
      <c r="AH24">
        <f>VLOOKUP($A24,'MF-225'!$A$2:$BV$53,AH$1,FALSE)</f>
        <v>447902</v>
      </c>
    </row>
    <row r="25" spans="1:34">
      <c r="A25" t="s">
        <v>21</v>
      </c>
      <c r="B25" t="str">
        <f>VLOOKUP(A25,'State Codes'!$C$10:$D$63,2,FALSE)</f>
        <v>MI</v>
      </c>
      <c r="C25">
        <f>VLOOKUP($A25,'MF-225'!$A$2:$BV$53,C$1,FALSE)</f>
        <v>534548</v>
      </c>
      <c r="D25">
        <f>VLOOKUP($A25,'MF-225'!$A$2:$BV$53,D$1,FALSE)</f>
        <v>538195</v>
      </c>
      <c r="E25">
        <f>VLOOKUP($A25,'MF-225'!$A$2:$BV$53,E$1,FALSE)</f>
        <v>570147</v>
      </c>
      <c r="F25">
        <f>VLOOKUP($A25,'MF-225'!$A$2:$BV$53,F$1,FALSE)</f>
        <v>724338</v>
      </c>
      <c r="G25">
        <f>VLOOKUP($A25,'MF-225'!$A$2:$BV$53,G$1,FALSE)</f>
        <v>731522</v>
      </c>
      <c r="H25">
        <f>VLOOKUP($A25,'MF-225'!$A$2:$BV$53,H$1,FALSE)</f>
        <v>742668</v>
      </c>
      <c r="I25">
        <f>VLOOKUP($A25,'MF-225'!$A$2:$BV$53,I$1,FALSE)</f>
        <v>778437</v>
      </c>
      <c r="J25">
        <f>VLOOKUP($A25,'MF-225'!$A$2:$BV$53,J$1,FALSE)</f>
        <v>816936</v>
      </c>
      <c r="K25">
        <f>VLOOKUP($A25,'MF-225'!$A$2:$BV$53,K$1,FALSE)</f>
        <v>871396</v>
      </c>
      <c r="L25">
        <f>VLOOKUP($A25,'MF-225'!$A$2:$BV$53,L$1,FALSE)</f>
        <v>911306</v>
      </c>
      <c r="M25">
        <f>VLOOKUP($A25,'MF-225'!$A$2:$BV$53,M$1,FALSE)</f>
        <v>917188</v>
      </c>
      <c r="N25">
        <f>VLOOKUP($A25,'MF-225'!$A$2:$BV$53,N$1,FALSE)</f>
        <v>904696</v>
      </c>
      <c r="O25">
        <f>VLOOKUP($A25,'MF-225'!$A$2:$BV$53,O$1,FALSE)</f>
        <v>944140</v>
      </c>
      <c r="P25">
        <f>VLOOKUP($A25,'MF-225'!$A$2:$BV$53,P$1,FALSE)</f>
        <v>945696</v>
      </c>
      <c r="Q25">
        <f>VLOOKUP($A25,'MF-225'!$A$2:$BV$53,Q$1,FALSE)</f>
        <v>978991</v>
      </c>
      <c r="R25">
        <f>VLOOKUP($A25,'MF-225'!$A$2:$BV$53,R$1,FALSE)</f>
        <v>948961</v>
      </c>
      <c r="S25">
        <f>VLOOKUP($A25,'MF-225'!$A$2:$BV$53,S$1,FALSE)</f>
        <v>932524</v>
      </c>
      <c r="T25">
        <f>VLOOKUP($A25,'MF-225'!$A$2:$BV$53,T$1,FALSE)</f>
        <v>908978</v>
      </c>
      <c r="U25">
        <f>VLOOKUP($A25,'MF-225'!$A$2:$BV$53,U$1,FALSE)</f>
        <v>841733.60299999989</v>
      </c>
      <c r="V25">
        <f>VLOOKUP($A25,'MF-225'!$A$2:$BV$53,V$1,FALSE)</f>
        <v>783591.93700000015</v>
      </c>
      <c r="W25">
        <f>VLOOKUP($A25,'MF-225'!$A$2:$BV$53,W$1,FALSE)</f>
        <v>821625.77100000007</v>
      </c>
      <c r="X25">
        <f>VLOOKUP($A25,'MF-225'!$A$2:$BV$53,X$1,FALSE)</f>
        <v>822930.77100000007</v>
      </c>
      <c r="Y25">
        <f>VLOOKUP($A25,'MF-225'!$A$2:$BV$53,Y$1,FALSE)</f>
        <v>840560.45600000001</v>
      </c>
      <c r="Z25">
        <f>VLOOKUP($A25,'MF-225'!$A$2:$BV$53,Z$1,FALSE)</f>
        <v>910769</v>
      </c>
      <c r="AA25">
        <f>VLOOKUP($A25,'MF-225'!$A$2:$BV$53,AA$1,FALSE)</f>
        <v>926313</v>
      </c>
      <c r="AB25">
        <f>VLOOKUP($A25,'MF-225'!$A$2:$BV$53,AB$1,FALSE)</f>
        <v>955376</v>
      </c>
      <c r="AC25">
        <f>VLOOKUP($A25,'MF-225'!$A$2:$BV$53,AC$1,FALSE)</f>
        <v>983664</v>
      </c>
      <c r="AD25">
        <f>VLOOKUP($A25,'MF-225'!$A$2:$BV$53,AD$1,FALSE)</f>
        <v>931965</v>
      </c>
      <c r="AE25">
        <f>VLOOKUP($A25,'MF-225'!$A$2:$BV$53,AE$1,FALSE)</f>
        <v>1037517</v>
      </c>
      <c r="AF25">
        <f>VLOOKUP($A25,'MF-225'!$A$2:$BV$53,AF$1,FALSE)</f>
        <v>969508</v>
      </c>
      <c r="AG25">
        <f>VLOOKUP($A25,'MF-225'!$A$2:$BV$53,AG$1,FALSE)</f>
        <v>909795</v>
      </c>
      <c r="AH25">
        <f>VLOOKUP($A25,'MF-225'!$A$2:$BV$53,AH$1,FALSE)</f>
        <v>967556</v>
      </c>
    </row>
    <row r="26" spans="1:34">
      <c r="A26" t="s">
        <v>22</v>
      </c>
      <c r="B26" t="str">
        <f>VLOOKUP(A26,'State Codes'!$C$10:$D$63,2,FALSE)</f>
        <v>MN</v>
      </c>
      <c r="C26">
        <f>VLOOKUP($A26,'MF-225'!$A$2:$BV$53,C$1,FALSE)</f>
        <v>327853</v>
      </c>
      <c r="D26">
        <f>VLOOKUP($A26,'MF-225'!$A$2:$BV$53,D$1,FALSE)</f>
        <v>344277</v>
      </c>
      <c r="E26">
        <f>VLOOKUP($A26,'MF-225'!$A$2:$BV$53,E$1,FALSE)</f>
        <v>354154</v>
      </c>
      <c r="F26">
        <f>VLOOKUP($A26,'MF-225'!$A$2:$BV$53,F$1,FALSE)</f>
        <v>374863</v>
      </c>
      <c r="G26">
        <f>VLOOKUP($A26,'MF-225'!$A$2:$BV$53,G$1,FALSE)</f>
        <v>422126</v>
      </c>
      <c r="H26">
        <f>VLOOKUP($A26,'MF-225'!$A$2:$BV$53,H$1,FALSE)</f>
        <v>457310</v>
      </c>
      <c r="I26">
        <f>VLOOKUP($A26,'MF-225'!$A$2:$BV$53,I$1,FALSE)</f>
        <v>485188</v>
      </c>
      <c r="J26">
        <f>VLOOKUP($A26,'MF-225'!$A$2:$BV$53,J$1,FALSE)</f>
        <v>505032</v>
      </c>
      <c r="K26">
        <f>VLOOKUP($A26,'MF-225'!$A$2:$BV$53,K$1,FALSE)</f>
        <v>549403</v>
      </c>
      <c r="L26">
        <f>VLOOKUP($A26,'MF-225'!$A$2:$BV$53,L$1,FALSE)</f>
        <v>575792</v>
      </c>
      <c r="M26">
        <f>VLOOKUP($A26,'MF-225'!$A$2:$BV$53,M$1,FALSE)</f>
        <v>638962</v>
      </c>
      <c r="N26">
        <f>VLOOKUP($A26,'MF-225'!$A$2:$BV$53,N$1,FALSE)</f>
        <v>632363</v>
      </c>
      <c r="O26">
        <f>VLOOKUP($A26,'MF-225'!$A$2:$BV$53,O$1,FALSE)</f>
        <v>652549</v>
      </c>
      <c r="P26">
        <f>VLOOKUP($A26,'MF-225'!$A$2:$BV$53,P$1,FALSE)</f>
        <v>645306</v>
      </c>
      <c r="Q26">
        <f>VLOOKUP($A26,'MF-225'!$A$2:$BV$53,Q$1,FALSE)</f>
        <v>664466</v>
      </c>
      <c r="R26">
        <f>VLOOKUP($A26,'MF-225'!$A$2:$BV$53,R$1,FALSE)</f>
        <v>665699</v>
      </c>
      <c r="S26">
        <f>VLOOKUP($A26,'MF-225'!$A$2:$BV$53,S$1,FALSE)</f>
        <v>675627</v>
      </c>
      <c r="T26">
        <f>VLOOKUP($A26,'MF-225'!$A$2:$BV$53,T$1,FALSE)</f>
        <v>677757</v>
      </c>
      <c r="U26">
        <f>VLOOKUP($A26,'MF-225'!$A$2:$BV$53,U$1,FALSE)</f>
        <v>668423.32100000011</v>
      </c>
      <c r="V26">
        <f>VLOOKUP($A26,'MF-225'!$A$2:$BV$53,V$1,FALSE)</f>
        <v>598711.05200000003</v>
      </c>
      <c r="W26">
        <f>VLOOKUP($A26,'MF-225'!$A$2:$BV$53,W$1,FALSE)</f>
        <v>632501.37100000004</v>
      </c>
      <c r="X26">
        <f>VLOOKUP($A26,'MF-225'!$A$2:$BV$53,X$1,FALSE)</f>
        <v>657754.902</v>
      </c>
      <c r="Y26">
        <f>VLOOKUP($A26,'MF-225'!$A$2:$BV$53,Y$1,FALSE)</f>
        <v>690567.49799999991</v>
      </c>
      <c r="Z26">
        <f>VLOOKUP($A26,'MF-225'!$A$2:$BV$53,Z$1,FALSE)</f>
        <v>662062</v>
      </c>
      <c r="AA26">
        <f>VLOOKUP($A26,'MF-225'!$A$2:$BV$53,AA$1,FALSE)</f>
        <v>673560</v>
      </c>
      <c r="AB26">
        <f>VLOOKUP($A26,'MF-225'!$A$2:$BV$53,AB$1,FALSE)</f>
        <v>667656</v>
      </c>
      <c r="AC26">
        <f>VLOOKUP($A26,'MF-225'!$A$2:$BV$53,AC$1,FALSE)</f>
        <v>799162</v>
      </c>
      <c r="AD26">
        <f>VLOOKUP($A26,'MF-225'!$A$2:$BV$53,AD$1,FALSE)</f>
        <v>811188</v>
      </c>
      <c r="AE26">
        <f>VLOOKUP($A26,'MF-225'!$A$2:$BV$53,AE$1,FALSE)</f>
        <v>848394</v>
      </c>
      <c r="AF26">
        <f>VLOOKUP($A26,'MF-225'!$A$2:$BV$53,AF$1,FALSE)</f>
        <v>874736</v>
      </c>
      <c r="AG26">
        <f>VLOOKUP($A26,'MF-225'!$A$2:$BV$53,AG$1,FALSE)</f>
        <v>720079</v>
      </c>
      <c r="AH26">
        <f>VLOOKUP($A26,'MF-225'!$A$2:$BV$53,AH$1,FALSE)</f>
        <v>762665</v>
      </c>
    </row>
    <row r="27" spans="1:34">
      <c r="A27" t="s">
        <v>23</v>
      </c>
      <c r="B27" t="str">
        <f>VLOOKUP(A27,'State Codes'!$C$10:$D$63,2,FALSE)</f>
        <v>MS</v>
      </c>
      <c r="C27">
        <f>VLOOKUP($A27,'MF-225'!$A$2:$BV$53,C$1,FALSE)</f>
        <v>328349</v>
      </c>
      <c r="D27">
        <f>VLOOKUP($A27,'MF-225'!$A$2:$BV$53,D$1,FALSE)</f>
        <v>333768</v>
      </c>
      <c r="E27">
        <f>VLOOKUP($A27,'MF-225'!$A$2:$BV$53,E$1,FALSE)</f>
        <v>346023</v>
      </c>
      <c r="F27">
        <f>VLOOKUP($A27,'MF-225'!$A$2:$BV$53,F$1,FALSE)</f>
        <v>349074</v>
      </c>
      <c r="G27">
        <f>VLOOKUP($A27,'MF-225'!$A$2:$BV$53,G$1,FALSE)</f>
        <v>362185</v>
      </c>
      <c r="H27">
        <f>VLOOKUP($A27,'MF-225'!$A$2:$BV$53,H$1,FALSE)</f>
        <v>378188</v>
      </c>
      <c r="I27">
        <f>VLOOKUP($A27,'MF-225'!$A$2:$BV$53,I$1,FALSE)</f>
        <v>403727</v>
      </c>
      <c r="J27">
        <f>VLOOKUP($A27,'MF-225'!$A$2:$BV$53,J$1,FALSE)</f>
        <v>434751</v>
      </c>
      <c r="K27">
        <f>VLOOKUP($A27,'MF-225'!$A$2:$BV$53,K$1,FALSE)</f>
        <v>498032</v>
      </c>
      <c r="L27">
        <f>VLOOKUP($A27,'MF-225'!$A$2:$BV$53,L$1,FALSE)</f>
        <v>558687</v>
      </c>
      <c r="M27">
        <f>VLOOKUP($A27,'MF-225'!$A$2:$BV$53,M$1,FALSE)</f>
        <v>515074</v>
      </c>
      <c r="N27">
        <f>VLOOKUP($A27,'MF-225'!$A$2:$BV$53,N$1,FALSE)</f>
        <v>505680</v>
      </c>
      <c r="O27">
        <f>VLOOKUP($A27,'MF-225'!$A$2:$BV$53,O$1,FALSE)</f>
        <v>540155</v>
      </c>
      <c r="P27">
        <f>VLOOKUP($A27,'MF-225'!$A$2:$BV$53,P$1,FALSE)</f>
        <v>593222</v>
      </c>
      <c r="Q27">
        <f>VLOOKUP($A27,'MF-225'!$A$2:$BV$53,Q$1,FALSE)</f>
        <v>600066</v>
      </c>
      <c r="R27">
        <f>VLOOKUP($A27,'MF-225'!$A$2:$BV$53,R$1,FALSE)</f>
        <v>606874</v>
      </c>
      <c r="S27">
        <f>VLOOKUP($A27,'MF-225'!$A$2:$BV$53,S$1,FALSE)</f>
        <v>643310</v>
      </c>
      <c r="T27">
        <f>VLOOKUP($A27,'MF-225'!$A$2:$BV$53,T$1,FALSE)</f>
        <v>626360</v>
      </c>
      <c r="U27">
        <f>VLOOKUP($A27,'MF-225'!$A$2:$BV$53,U$1,FALSE)</f>
        <v>625860.72999999986</v>
      </c>
      <c r="V27">
        <f>VLOOKUP($A27,'MF-225'!$A$2:$BV$53,V$1,FALSE)</f>
        <v>554308.57799999998</v>
      </c>
      <c r="W27">
        <f>VLOOKUP($A27,'MF-225'!$A$2:$BV$53,W$1,FALSE)</f>
        <v>563039.44900000002</v>
      </c>
      <c r="X27">
        <f>VLOOKUP($A27,'MF-225'!$A$2:$BV$53,X$1,FALSE)</f>
        <v>553167.18599999999</v>
      </c>
      <c r="Y27">
        <f>VLOOKUP($A27,'MF-225'!$A$2:$BV$53,Y$1,FALSE)</f>
        <v>578538.17200000002</v>
      </c>
      <c r="Z27">
        <f>VLOOKUP($A27,'MF-225'!$A$2:$BV$53,Z$1,FALSE)</f>
        <v>550896</v>
      </c>
      <c r="AA27">
        <f>VLOOKUP($A27,'MF-225'!$A$2:$BV$53,AA$1,FALSE)</f>
        <v>573402</v>
      </c>
      <c r="AB27">
        <f>VLOOKUP($A27,'MF-225'!$A$2:$BV$53,AB$1,FALSE)</f>
        <v>632987</v>
      </c>
      <c r="AC27">
        <f>VLOOKUP($A27,'MF-225'!$A$2:$BV$53,AC$1,FALSE)</f>
        <v>687994</v>
      </c>
      <c r="AD27">
        <f>VLOOKUP($A27,'MF-225'!$A$2:$BV$53,AD$1,FALSE)</f>
        <v>685953</v>
      </c>
      <c r="AE27">
        <f>VLOOKUP($A27,'MF-225'!$A$2:$BV$53,AE$1,FALSE)</f>
        <v>707874</v>
      </c>
      <c r="AF27">
        <f>VLOOKUP($A27,'MF-225'!$A$2:$BV$53,AF$1,FALSE)</f>
        <v>709977</v>
      </c>
      <c r="AG27">
        <f>VLOOKUP($A27,'MF-225'!$A$2:$BV$53,AG$1,FALSE)</f>
        <v>696751</v>
      </c>
      <c r="AH27">
        <f>VLOOKUP($A27,'MF-225'!$A$2:$BV$53,AH$1,FALSE)</f>
        <v>733965</v>
      </c>
    </row>
    <row r="28" spans="1:34">
      <c r="A28" t="s">
        <v>24</v>
      </c>
      <c r="B28" t="str">
        <f>VLOOKUP(A28,'State Codes'!$C$10:$D$63,2,FALSE)</f>
        <v>MO</v>
      </c>
      <c r="C28">
        <f>VLOOKUP($A28,'MF-225'!$A$2:$BV$53,C$1,FALSE)</f>
        <v>594302</v>
      </c>
      <c r="D28">
        <f>VLOOKUP($A28,'MF-225'!$A$2:$BV$53,D$1,FALSE)</f>
        <v>591447</v>
      </c>
      <c r="E28">
        <f>VLOOKUP($A28,'MF-225'!$A$2:$BV$53,E$1,FALSE)</f>
        <v>651097</v>
      </c>
      <c r="F28">
        <f>VLOOKUP($A28,'MF-225'!$A$2:$BV$53,F$1,FALSE)</f>
        <v>691149</v>
      </c>
      <c r="G28">
        <f>VLOOKUP($A28,'MF-225'!$A$2:$BV$53,G$1,FALSE)</f>
        <v>736603</v>
      </c>
      <c r="H28">
        <f>VLOOKUP($A28,'MF-225'!$A$2:$BV$53,H$1,FALSE)</f>
        <v>743410</v>
      </c>
      <c r="I28">
        <f>VLOOKUP($A28,'MF-225'!$A$2:$BV$53,I$1,FALSE)</f>
        <v>772248</v>
      </c>
      <c r="J28">
        <f>VLOOKUP($A28,'MF-225'!$A$2:$BV$53,J$1,FALSE)</f>
        <v>881667</v>
      </c>
      <c r="K28">
        <f>VLOOKUP($A28,'MF-225'!$A$2:$BV$53,K$1,FALSE)</f>
        <v>939318</v>
      </c>
      <c r="L28">
        <f>VLOOKUP($A28,'MF-225'!$A$2:$BV$53,L$1,FALSE)</f>
        <v>866541</v>
      </c>
      <c r="M28">
        <f>VLOOKUP($A28,'MF-225'!$A$2:$BV$53,M$1,FALSE)</f>
        <v>921162</v>
      </c>
      <c r="N28">
        <f>VLOOKUP($A28,'MF-225'!$A$2:$BV$53,N$1,FALSE)</f>
        <v>915155</v>
      </c>
      <c r="O28">
        <f>VLOOKUP($A28,'MF-225'!$A$2:$BV$53,O$1,FALSE)</f>
        <v>951220</v>
      </c>
      <c r="P28">
        <f>VLOOKUP($A28,'MF-225'!$A$2:$BV$53,P$1,FALSE)</f>
        <v>973107</v>
      </c>
      <c r="Q28">
        <f>VLOOKUP($A28,'MF-225'!$A$2:$BV$53,Q$1,FALSE)</f>
        <v>1040893</v>
      </c>
      <c r="R28">
        <f>VLOOKUP($A28,'MF-225'!$A$2:$BV$53,R$1,FALSE)</f>
        <v>1054039</v>
      </c>
      <c r="S28">
        <f>VLOOKUP($A28,'MF-225'!$A$2:$BV$53,S$1,FALSE)</f>
        <v>1077474</v>
      </c>
      <c r="T28">
        <f>VLOOKUP($A28,'MF-225'!$A$2:$BV$53,T$1,FALSE)</f>
        <v>1093652</v>
      </c>
      <c r="U28">
        <f>VLOOKUP($A28,'MF-225'!$A$2:$BV$53,U$1,FALSE)</f>
        <v>996651.16700000002</v>
      </c>
      <c r="V28">
        <f>VLOOKUP($A28,'MF-225'!$A$2:$BV$53,V$1,FALSE)</f>
        <v>953284.64900000009</v>
      </c>
      <c r="W28">
        <f>VLOOKUP($A28,'MF-225'!$A$2:$BV$53,W$1,FALSE)</f>
        <v>985786.10300000012</v>
      </c>
      <c r="X28">
        <f>VLOOKUP($A28,'MF-225'!$A$2:$BV$53,X$1,FALSE)</f>
        <v>980843.25600000005</v>
      </c>
      <c r="Y28">
        <f>VLOOKUP($A28,'MF-225'!$A$2:$BV$53,Y$1,FALSE)</f>
        <v>968275.46299999999</v>
      </c>
      <c r="Z28">
        <f>VLOOKUP($A28,'MF-225'!$A$2:$BV$53,Z$1,FALSE)</f>
        <v>959962</v>
      </c>
      <c r="AA28">
        <f>VLOOKUP($A28,'MF-225'!$A$2:$BV$53,AA$1,FALSE)</f>
        <v>1003190</v>
      </c>
      <c r="AB28">
        <f>VLOOKUP($A28,'MF-225'!$A$2:$BV$53,AB$1,FALSE)</f>
        <v>1022026</v>
      </c>
      <c r="AC28">
        <f>VLOOKUP($A28,'MF-225'!$A$2:$BV$53,AC$1,FALSE)</f>
        <v>1043171</v>
      </c>
      <c r="AD28">
        <f>VLOOKUP($A28,'MF-225'!$A$2:$BV$53,AD$1,FALSE)</f>
        <v>1051422</v>
      </c>
      <c r="AE28">
        <f>VLOOKUP($A28,'MF-225'!$A$2:$BV$53,AE$1,FALSE)</f>
        <v>1066093</v>
      </c>
      <c r="AF28">
        <f>VLOOKUP($A28,'MF-225'!$A$2:$BV$53,AF$1,FALSE)</f>
        <v>1100304</v>
      </c>
      <c r="AG28">
        <f>VLOOKUP($A28,'MF-225'!$A$2:$BV$53,AG$1,FALSE)</f>
        <v>1054726</v>
      </c>
      <c r="AH28">
        <f>VLOOKUP($A28,'MF-225'!$A$2:$BV$53,AH$1,FALSE)</f>
        <v>1093299</v>
      </c>
    </row>
    <row r="29" spans="1:34">
      <c r="A29" t="s">
        <v>25</v>
      </c>
      <c r="B29" t="str">
        <f>VLOOKUP(A29,'State Codes'!$C$10:$D$63,2,FALSE)</f>
        <v>MT</v>
      </c>
      <c r="C29">
        <f>VLOOKUP($A29,'MF-225'!$A$2:$BV$53,C$1,FALSE)</f>
        <v>125346</v>
      </c>
      <c r="D29">
        <f>VLOOKUP($A29,'MF-225'!$A$2:$BV$53,D$1,FALSE)</f>
        <v>116176</v>
      </c>
      <c r="E29">
        <f>VLOOKUP($A29,'MF-225'!$A$2:$BV$53,E$1,FALSE)</f>
        <v>126314</v>
      </c>
      <c r="F29">
        <f>VLOOKUP($A29,'MF-225'!$A$2:$BV$53,F$1,FALSE)</f>
        <v>139443</v>
      </c>
      <c r="G29">
        <f>VLOOKUP($A29,'MF-225'!$A$2:$BV$53,G$1,FALSE)</f>
        <v>156703</v>
      </c>
      <c r="H29">
        <f>VLOOKUP($A29,'MF-225'!$A$2:$BV$53,H$1,FALSE)</f>
        <v>159632</v>
      </c>
      <c r="I29">
        <f>VLOOKUP($A29,'MF-225'!$A$2:$BV$53,I$1,FALSE)</f>
        <v>146177</v>
      </c>
      <c r="J29">
        <f>VLOOKUP($A29,'MF-225'!$A$2:$BV$53,J$1,FALSE)</f>
        <v>175736</v>
      </c>
      <c r="K29">
        <f>VLOOKUP($A29,'MF-225'!$A$2:$BV$53,K$1,FALSE)</f>
        <v>172711</v>
      </c>
      <c r="L29">
        <f>VLOOKUP($A29,'MF-225'!$A$2:$BV$53,L$1,FALSE)</f>
        <v>185212</v>
      </c>
      <c r="M29">
        <f>VLOOKUP($A29,'MF-225'!$A$2:$BV$53,M$1,FALSE)</f>
        <v>190450</v>
      </c>
      <c r="N29">
        <f>VLOOKUP($A29,'MF-225'!$A$2:$BV$53,N$1,FALSE)</f>
        <v>198232</v>
      </c>
      <c r="O29">
        <f>VLOOKUP($A29,'MF-225'!$A$2:$BV$53,O$1,FALSE)</f>
        <v>202477</v>
      </c>
      <c r="P29">
        <f>VLOOKUP($A29,'MF-225'!$A$2:$BV$53,P$1,FALSE)</f>
        <v>210712</v>
      </c>
      <c r="Q29">
        <f>VLOOKUP($A29,'MF-225'!$A$2:$BV$53,Q$1,FALSE)</f>
        <v>223636</v>
      </c>
      <c r="R29">
        <f>VLOOKUP($A29,'MF-225'!$A$2:$BV$53,R$1,FALSE)</f>
        <v>246433</v>
      </c>
      <c r="S29">
        <f>VLOOKUP($A29,'MF-225'!$A$2:$BV$53,S$1,FALSE)</f>
        <v>259569</v>
      </c>
      <c r="T29">
        <f>VLOOKUP($A29,'MF-225'!$A$2:$BV$53,T$1,FALSE)</f>
        <v>265261</v>
      </c>
      <c r="U29">
        <f>VLOOKUP($A29,'MF-225'!$A$2:$BV$53,U$1,FALSE)</f>
        <v>252978.185</v>
      </c>
      <c r="V29">
        <f>VLOOKUP($A29,'MF-225'!$A$2:$BV$53,V$1,FALSE)</f>
        <v>237129.65599999999</v>
      </c>
      <c r="W29">
        <f>VLOOKUP($A29,'MF-225'!$A$2:$BV$53,W$1,FALSE)</f>
        <v>245822.76699999999</v>
      </c>
      <c r="X29">
        <f>VLOOKUP($A29,'MF-225'!$A$2:$BV$53,X$1,FALSE)</f>
        <v>254253.95800000001</v>
      </c>
      <c r="Y29">
        <f>VLOOKUP($A29,'MF-225'!$A$2:$BV$53,Y$1,FALSE)</f>
        <v>262302.99600000004</v>
      </c>
      <c r="Z29">
        <f>VLOOKUP($A29,'MF-225'!$A$2:$BV$53,Z$1,FALSE)</f>
        <v>264682</v>
      </c>
      <c r="AA29">
        <f>VLOOKUP($A29,'MF-225'!$A$2:$BV$53,AA$1,FALSE)</f>
        <v>270918</v>
      </c>
      <c r="AB29">
        <f>VLOOKUP($A29,'MF-225'!$A$2:$BV$53,AB$1,FALSE)</f>
        <v>268546</v>
      </c>
      <c r="AC29">
        <f>VLOOKUP($A29,'MF-225'!$A$2:$BV$53,AC$1,FALSE)</f>
        <v>265741</v>
      </c>
      <c r="AD29">
        <f>VLOOKUP($A29,'MF-225'!$A$2:$BV$53,AD$1,FALSE)</f>
        <v>270340</v>
      </c>
      <c r="AE29">
        <f>VLOOKUP($A29,'MF-225'!$A$2:$BV$53,AE$1,FALSE)</f>
        <v>272327</v>
      </c>
      <c r="AF29">
        <f>VLOOKUP($A29,'MF-225'!$A$2:$BV$53,AF$1,FALSE)</f>
        <v>278801</v>
      </c>
      <c r="AG29">
        <f>VLOOKUP($A29,'MF-225'!$A$2:$BV$53,AG$1,FALSE)</f>
        <v>287264</v>
      </c>
      <c r="AH29">
        <f>VLOOKUP($A29,'MF-225'!$A$2:$BV$53,AH$1,FALSE)</f>
        <v>308761</v>
      </c>
    </row>
    <row r="30" spans="1:34">
      <c r="A30" t="s">
        <v>26</v>
      </c>
      <c r="B30" t="str">
        <f>VLOOKUP(A30,'State Codes'!$C$10:$D$63,2,FALSE)</f>
        <v>NE</v>
      </c>
      <c r="C30">
        <f>VLOOKUP($A30,'MF-225'!$A$2:$BV$53,C$1,FALSE)</f>
        <v>220284</v>
      </c>
      <c r="D30">
        <f>VLOOKUP($A30,'MF-225'!$A$2:$BV$53,D$1,FALSE)</f>
        <v>222767</v>
      </c>
      <c r="E30">
        <f>VLOOKUP($A30,'MF-225'!$A$2:$BV$53,E$1,FALSE)</f>
        <v>250632</v>
      </c>
      <c r="F30">
        <f>VLOOKUP($A30,'MF-225'!$A$2:$BV$53,F$1,FALSE)</f>
        <v>260476</v>
      </c>
      <c r="G30">
        <f>VLOOKUP($A30,'MF-225'!$A$2:$BV$53,G$1,FALSE)</f>
        <v>285824</v>
      </c>
      <c r="H30">
        <f>VLOOKUP($A30,'MF-225'!$A$2:$BV$53,H$1,FALSE)</f>
        <v>314454</v>
      </c>
      <c r="I30">
        <f>VLOOKUP($A30,'MF-225'!$A$2:$BV$53,I$1,FALSE)</f>
        <v>338899</v>
      </c>
      <c r="J30">
        <f>VLOOKUP($A30,'MF-225'!$A$2:$BV$53,J$1,FALSE)</f>
        <v>318345</v>
      </c>
      <c r="K30">
        <f>VLOOKUP($A30,'MF-225'!$A$2:$BV$53,K$1,FALSE)</f>
        <v>362739</v>
      </c>
      <c r="L30">
        <f>VLOOKUP($A30,'MF-225'!$A$2:$BV$53,L$1,FALSE)</f>
        <v>361429</v>
      </c>
      <c r="M30">
        <f>VLOOKUP($A30,'MF-225'!$A$2:$BV$53,M$1,FALSE)</f>
        <v>364475</v>
      </c>
      <c r="N30">
        <f>VLOOKUP($A30,'MF-225'!$A$2:$BV$53,N$1,FALSE)</f>
        <v>366839</v>
      </c>
      <c r="O30">
        <f>VLOOKUP($A30,'MF-225'!$A$2:$BV$53,O$1,FALSE)</f>
        <v>375476</v>
      </c>
      <c r="P30">
        <f>VLOOKUP($A30,'MF-225'!$A$2:$BV$53,P$1,FALSE)</f>
        <v>378061</v>
      </c>
      <c r="Q30">
        <f>VLOOKUP($A30,'MF-225'!$A$2:$BV$53,Q$1,FALSE)</f>
        <v>404167</v>
      </c>
      <c r="R30">
        <f>VLOOKUP($A30,'MF-225'!$A$2:$BV$53,R$1,FALSE)</f>
        <v>407252</v>
      </c>
      <c r="S30">
        <f>VLOOKUP($A30,'MF-225'!$A$2:$BV$53,S$1,FALSE)</f>
        <v>412295</v>
      </c>
      <c r="T30">
        <f>VLOOKUP($A30,'MF-225'!$A$2:$BV$53,T$1,FALSE)</f>
        <v>436757</v>
      </c>
      <c r="U30">
        <f>VLOOKUP($A30,'MF-225'!$A$2:$BV$53,U$1,FALSE)</f>
        <v>409191.01099999994</v>
      </c>
      <c r="V30">
        <f>VLOOKUP($A30,'MF-225'!$A$2:$BV$53,V$1,FALSE)</f>
        <v>389466.962</v>
      </c>
      <c r="W30">
        <f>VLOOKUP($A30,'MF-225'!$A$2:$BV$53,W$1,FALSE)</f>
        <v>426249.11100000003</v>
      </c>
      <c r="X30">
        <f>VLOOKUP($A30,'MF-225'!$A$2:$BV$53,X$1,FALSE)</f>
        <v>424670.49900000001</v>
      </c>
      <c r="Y30">
        <f>VLOOKUP($A30,'MF-225'!$A$2:$BV$53,Y$1,FALSE)</f>
        <v>420809.41700000002</v>
      </c>
      <c r="Z30">
        <f>VLOOKUP($A30,'MF-225'!$A$2:$BV$53,Z$1,FALSE)</f>
        <v>429748</v>
      </c>
      <c r="AA30">
        <f>VLOOKUP($A30,'MF-225'!$A$2:$BV$53,AA$1,FALSE)</f>
        <v>442447</v>
      </c>
      <c r="AB30">
        <f>VLOOKUP($A30,'MF-225'!$A$2:$BV$53,AB$1,FALSE)</f>
        <v>444076</v>
      </c>
      <c r="AC30">
        <f>VLOOKUP($A30,'MF-225'!$A$2:$BV$53,AC$1,FALSE)</f>
        <v>467201</v>
      </c>
      <c r="AD30">
        <f>VLOOKUP($A30,'MF-225'!$A$2:$BV$53,AD$1,FALSE)</f>
        <v>466125</v>
      </c>
      <c r="AE30">
        <f>VLOOKUP($A30,'MF-225'!$A$2:$BV$53,AE$1,FALSE)</f>
        <v>466843</v>
      </c>
      <c r="AF30">
        <f>VLOOKUP($A30,'MF-225'!$A$2:$BV$53,AF$1,FALSE)</f>
        <v>488471</v>
      </c>
      <c r="AG30">
        <f>VLOOKUP($A30,'MF-225'!$A$2:$BV$53,AG$1,FALSE)</f>
        <v>482016</v>
      </c>
      <c r="AH30">
        <f>VLOOKUP($A30,'MF-225'!$A$2:$BV$53,AH$1,FALSE)</f>
        <v>529740</v>
      </c>
    </row>
    <row r="31" spans="1:34">
      <c r="A31" t="s">
        <v>27</v>
      </c>
      <c r="B31" t="str">
        <f>VLOOKUP(A31,'State Codes'!$C$10:$D$63,2,FALSE)</f>
        <v>NV</v>
      </c>
      <c r="C31">
        <f>VLOOKUP($A31,'MF-225'!$A$2:$BV$53,C$1,FALSE)</f>
        <v>132136</v>
      </c>
      <c r="D31">
        <f>VLOOKUP($A31,'MF-225'!$A$2:$BV$53,D$1,FALSE)</f>
        <v>141735</v>
      </c>
      <c r="E31">
        <f>VLOOKUP($A31,'MF-225'!$A$2:$BV$53,E$1,FALSE)</f>
        <v>146743</v>
      </c>
      <c r="F31">
        <f>VLOOKUP($A31,'MF-225'!$A$2:$BV$53,F$1,FALSE)</f>
        <v>176300</v>
      </c>
      <c r="G31">
        <f>VLOOKUP($A31,'MF-225'!$A$2:$BV$53,G$1,FALSE)</f>
        <v>174734</v>
      </c>
      <c r="H31">
        <f>VLOOKUP($A31,'MF-225'!$A$2:$BV$53,H$1,FALSE)</f>
        <v>176726</v>
      </c>
      <c r="I31">
        <f>VLOOKUP($A31,'MF-225'!$A$2:$BV$53,I$1,FALSE)</f>
        <v>220132</v>
      </c>
      <c r="J31">
        <f>VLOOKUP($A31,'MF-225'!$A$2:$BV$53,J$1,FALSE)</f>
        <v>223864</v>
      </c>
      <c r="K31">
        <f>VLOOKUP($A31,'MF-225'!$A$2:$BV$53,K$1,FALSE)</f>
        <v>230337</v>
      </c>
      <c r="L31">
        <f>VLOOKUP($A31,'MF-225'!$A$2:$BV$53,L$1,FALSE)</f>
        <v>262918</v>
      </c>
      <c r="M31">
        <f>VLOOKUP($A31,'MF-225'!$A$2:$BV$53,M$1,FALSE)</f>
        <v>264306</v>
      </c>
      <c r="N31">
        <f>VLOOKUP($A31,'MF-225'!$A$2:$BV$53,N$1,FALSE)</f>
        <v>268577</v>
      </c>
      <c r="O31">
        <f>VLOOKUP($A31,'MF-225'!$A$2:$BV$53,O$1,FALSE)</f>
        <v>287935</v>
      </c>
      <c r="P31">
        <f>VLOOKUP($A31,'MF-225'!$A$2:$BV$53,P$1,FALSE)</f>
        <v>298113</v>
      </c>
      <c r="Q31">
        <f>VLOOKUP($A31,'MF-225'!$A$2:$BV$53,Q$1,FALSE)</f>
        <v>332118</v>
      </c>
      <c r="R31">
        <f>VLOOKUP($A31,'MF-225'!$A$2:$BV$53,R$1,FALSE)</f>
        <v>388933</v>
      </c>
      <c r="S31">
        <f>VLOOKUP($A31,'MF-225'!$A$2:$BV$53,S$1,FALSE)</f>
        <v>399257</v>
      </c>
      <c r="T31">
        <f>VLOOKUP($A31,'MF-225'!$A$2:$BV$53,T$1,FALSE)</f>
        <v>387773</v>
      </c>
      <c r="U31">
        <f>VLOOKUP($A31,'MF-225'!$A$2:$BV$53,U$1,FALSE)</f>
        <v>334505.859</v>
      </c>
      <c r="V31">
        <f>VLOOKUP($A31,'MF-225'!$A$2:$BV$53,V$1,FALSE)</f>
        <v>311206.76500000001</v>
      </c>
      <c r="W31">
        <f>VLOOKUP($A31,'MF-225'!$A$2:$BV$53,W$1,FALSE)</f>
        <v>308845.90800000005</v>
      </c>
      <c r="X31">
        <f>VLOOKUP($A31,'MF-225'!$A$2:$BV$53,X$1,FALSE)</f>
        <v>297764.90400000004</v>
      </c>
      <c r="Y31">
        <f>VLOOKUP($A31,'MF-225'!$A$2:$BV$53,Y$1,FALSE)</f>
        <v>299954.14900000003</v>
      </c>
      <c r="Z31">
        <f>VLOOKUP($A31,'MF-225'!$A$2:$BV$53,Z$1,FALSE)</f>
        <v>317521</v>
      </c>
      <c r="AA31">
        <f>VLOOKUP($A31,'MF-225'!$A$2:$BV$53,AA$1,FALSE)</f>
        <v>301283</v>
      </c>
      <c r="AB31">
        <f>VLOOKUP($A31,'MF-225'!$A$2:$BV$53,AB$1,FALSE)</f>
        <v>310562</v>
      </c>
      <c r="AC31">
        <f>VLOOKUP($A31,'MF-225'!$A$2:$BV$53,AC$1,FALSE)</f>
        <v>337601</v>
      </c>
      <c r="AD31">
        <f>VLOOKUP($A31,'MF-225'!$A$2:$BV$53,AD$1,FALSE)</f>
        <v>375201</v>
      </c>
      <c r="AE31">
        <f>VLOOKUP($A31,'MF-225'!$A$2:$BV$53,AE$1,FALSE)</f>
        <v>353072</v>
      </c>
      <c r="AF31">
        <f>VLOOKUP($A31,'MF-225'!$A$2:$BV$53,AF$1,FALSE)</f>
        <v>386789</v>
      </c>
      <c r="AG31">
        <f>VLOOKUP($A31,'MF-225'!$A$2:$BV$53,AG$1,FALSE)</f>
        <v>388977</v>
      </c>
      <c r="AH31">
        <f>VLOOKUP($A31,'MF-225'!$A$2:$BV$53,AH$1,FALSE)</f>
        <v>423343</v>
      </c>
    </row>
    <row r="32" spans="1:34">
      <c r="A32" t="s">
        <v>28</v>
      </c>
      <c r="B32" t="str">
        <f>VLOOKUP(A32,'State Codes'!$C$10:$D$63,2,FALSE)</f>
        <v>NH</v>
      </c>
      <c r="C32">
        <f>VLOOKUP($A32,'MF-225'!$A$2:$BV$53,C$1,FALSE)</f>
        <v>51759</v>
      </c>
      <c r="D32">
        <f>VLOOKUP($A32,'MF-225'!$A$2:$BV$53,D$1,FALSE)</f>
        <v>48895</v>
      </c>
      <c r="E32">
        <f>VLOOKUP($A32,'MF-225'!$A$2:$BV$53,E$1,FALSE)</f>
        <v>51273</v>
      </c>
      <c r="F32">
        <f>VLOOKUP($A32,'MF-225'!$A$2:$BV$53,F$1,FALSE)</f>
        <v>53913</v>
      </c>
      <c r="G32">
        <f>VLOOKUP($A32,'MF-225'!$A$2:$BV$53,G$1,FALSE)</f>
        <v>56564</v>
      </c>
      <c r="H32">
        <f>VLOOKUP($A32,'MF-225'!$A$2:$BV$53,H$1,FALSE)</f>
        <v>63584</v>
      </c>
      <c r="I32">
        <f>VLOOKUP($A32,'MF-225'!$A$2:$BV$53,I$1,FALSE)</f>
        <v>61335</v>
      </c>
      <c r="J32">
        <f>VLOOKUP($A32,'MF-225'!$A$2:$BV$53,J$1,FALSE)</f>
        <v>116402</v>
      </c>
      <c r="K32">
        <f>VLOOKUP($A32,'MF-225'!$A$2:$BV$53,K$1,FALSE)</f>
        <v>103848</v>
      </c>
      <c r="L32">
        <f>VLOOKUP($A32,'MF-225'!$A$2:$BV$53,L$1,FALSE)</f>
        <v>103763</v>
      </c>
      <c r="M32">
        <f>VLOOKUP($A32,'MF-225'!$A$2:$BV$53,M$1,FALSE)</f>
        <v>99492</v>
      </c>
      <c r="N32">
        <f>VLOOKUP($A32,'MF-225'!$A$2:$BV$53,N$1,FALSE)</f>
        <v>100115</v>
      </c>
      <c r="O32">
        <f>VLOOKUP($A32,'MF-225'!$A$2:$BV$53,O$1,FALSE)</f>
        <v>105418</v>
      </c>
      <c r="P32">
        <f>VLOOKUP($A32,'MF-225'!$A$2:$BV$53,P$1,FALSE)</f>
        <v>102119</v>
      </c>
      <c r="Q32">
        <f>VLOOKUP($A32,'MF-225'!$A$2:$BV$53,Q$1,FALSE)</f>
        <v>112131</v>
      </c>
      <c r="R32">
        <f>VLOOKUP($A32,'MF-225'!$A$2:$BV$53,R$1,FALSE)</f>
        <v>111356</v>
      </c>
      <c r="S32">
        <f>VLOOKUP($A32,'MF-225'!$A$2:$BV$53,S$1,FALSE)</f>
        <v>102060</v>
      </c>
      <c r="T32">
        <f>VLOOKUP($A32,'MF-225'!$A$2:$BV$53,T$1,FALSE)</f>
        <v>104823</v>
      </c>
      <c r="U32">
        <f>VLOOKUP($A32,'MF-225'!$A$2:$BV$53,U$1,FALSE)</f>
        <v>98974.925000000003</v>
      </c>
      <c r="V32">
        <f>VLOOKUP($A32,'MF-225'!$A$2:$BV$53,V$1,FALSE)</f>
        <v>93696.738000000012</v>
      </c>
      <c r="W32">
        <f>VLOOKUP($A32,'MF-225'!$A$2:$BV$53,W$1,FALSE)</f>
        <v>94210.08</v>
      </c>
      <c r="X32">
        <f>VLOOKUP($A32,'MF-225'!$A$2:$BV$53,X$1,FALSE)</f>
        <v>92713.832999999999</v>
      </c>
      <c r="Y32">
        <f>VLOOKUP($A32,'MF-225'!$A$2:$BV$53,Y$1,FALSE)</f>
        <v>92156.991000000009</v>
      </c>
      <c r="Z32">
        <f>VLOOKUP($A32,'MF-225'!$A$2:$BV$53,Z$1,FALSE)</f>
        <v>92287</v>
      </c>
      <c r="AA32">
        <f>VLOOKUP($A32,'MF-225'!$A$2:$BV$53,AA$1,FALSE)</f>
        <v>97516</v>
      </c>
      <c r="AB32">
        <f>VLOOKUP($A32,'MF-225'!$A$2:$BV$53,AB$1,FALSE)</f>
        <v>101522</v>
      </c>
      <c r="AC32">
        <f>VLOOKUP($A32,'MF-225'!$A$2:$BV$53,AC$1,FALSE)</f>
        <v>98355</v>
      </c>
      <c r="AD32">
        <f>VLOOKUP($A32,'MF-225'!$A$2:$BV$53,AD$1,FALSE)</f>
        <v>102043</v>
      </c>
      <c r="AE32">
        <f>VLOOKUP($A32,'MF-225'!$A$2:$BV$53,AE$1,FALSE)</f>
        <v>104819</v>
      </c>
      <c r="AF32">
        <f>VLOOKUP($A32,'MF-225'!$A$2:$BV$53,AF$1,FALSE)</f>
        <v>102744</v>
      </c>
      <c r="AG32">
        <f>VLOOKUP($A32,'MF-225'!$A$2:$BV$53,AG$1,FALSE)</f>
        <v>104562</v>
      </c>
      <c r="AH32">
        <f>VLOOKUP($A32,'MF-225'!$A$2:$BV$53,AH$1,FALSE)</f>
        <v>129259</v>
      </c>
    </row>
    <row r="33" spans="1:34">
      <c r="A33" t="s">
        <v>29</v>
      </c>
      <c r="B33" t="str">
        <f>VLOOKUP(A33,'State Codes'!$C$10:$D$63,2,FALSE)</f>
        <v>NJ</v>
      </c>
      <c r="C33">
        <f>VLOOKUP($A33,'MF-225'!$A$2:$BV$53,C$1,FALSE)</f>
        <v>422486</v>
      </c>
      <c r="D33">
        <f>VLOOKUP($A33,'MF-225'!$A$2:$BV$53,D$1,FALSE)</f>
        <v>389054</v>
      </c>
      <c r="E33">
        <f>VLOOKUP($A33,'MF-225'!$A$2:$BV$53,E$1,FALSE)</f>
        <v>374846</v>
      </c>
      <c r="F33">
        <f>VLOOKUP($A33,'MF-225'!$A$2:$BV$53,F$1,FALSE)</f>
        <v>460571</v>
      </c>
      <c r="G33">
        <f>VLOOKUP($A33,'MF-225'!$A$2:$BV$53,G$1,FALSE)</f>
        <v>561865</v>
      </c>
      <c r="H33">
        <f>VLOOKUP($A33,'MF-225'!$A$2:$BV$53,H$1,FALSE)</f>
        <v>490475</v>
      </c>
      <c r="I33">
        <f>VLOOKUP($A33,'MF-225'!$A$2:$BV$53,I$1,FALSE)</f>
        <v>600618</v>
      </c>
      <c r="J33">
        <f>VLOOKUP($A33,'MF-225'!$A$2:$BV$53,J$1,FALSE)</f>
        <v>682581</v>
      </c>
      <c r="K33">
        <f>VLOOKUP($A33,'MF-225'!$A$2:$BV$53,K$1,FALSE)</f>
        <v>720088</v>
      </c>
      <c r="L33">
        <f>VLOOKUP($A33,'MF-225'!$A$2:$BV$53,L$1,FALSE)</f>
        <v>771389</v>
      </c>
      <c r="M33">
        <f>VLOOKUP($A33,'MF-225'!$A$2:$BV$53,M$1,FALSE)</f>
        <v>786783</v>
      </c>
      <c r="N33">
        <f>VLOOKUP($A33,'MF-225'!$A$2:$BV$53,N$1,FALSE)</f>
        <v>835324</v>
      </c>
      <c r="O33">
        <f>VLOOKUP($A33,'MF-225'!$A$2:$BV$53,O$1,FALSE)</f>
        <v>834457</v>
      </c>
      <c r="P33">
        <f>VLOOKUP($A33,'MF-225'!$A$2:$BV$53,P$1,FALSE)</f>
        <v>868681</v>
      </c>
      <c r="Q33">
        <f>VLOOKUP($A33,'MF-225'!$A$2:$BV$53,Q$1,FALSE)</f>
        <v>898537</v>
      </c>
      <c r="R33">
        <f>VLOOKUP($A33,'MF-225'!$A$2:$BV$53,R$1,FALSE)</f>
        <v>937891</v>
      </c>
      <c r="S33">
        <f>VLOOKUP($A33,'MF-225'!$A$2:$BV$53,S$1,FALSE)</f>
        <v>968042</v>
      </c>
      <c r="T33">
        <f>VLOOKUP($A33,'MF-225'!$A$2:$BV$53,T$1,FALSE)</f>
        <v>989724</v>
      </c>
      <c r="U33">
        <f>VLOOKUP($A33,'MF-225'!$A$2:$BV$53,U$1,FALSE)</f>
        <v>904689.25899999985</v>
      </c>
      <c r="V33">
        <f>VLOOKUP($A33,'MF-225'!$A$2:$BV$53,V$1,FALSE)</f>
        <v>840945.15899999987</v>
      </c>
      <c r="W33">
        <f>VLOOKUP($A33,'MF-225'!$A$2:$BV$53,W$1,FALSE)</f>
        <v>794560.11499999987</v>
      </c>
      <c r="X33">
        <f>VLOOKUP($A33,'MF-225'!$A$2:$BV$53,X$1,FALSE)</f>
        <v>800447.27999999991</v>
      </c>
      <c r="Y33">
        <f>VLOOKUP($A33,'MF-225'!$A$2:$BV$53,Y$1,FALSE)</f>
        <v>786804.38299999991</v>
      </c>
      <c r="Z33">
        <f>VLOOKUP($A33,'MF-225'!$A$2:$BV$53,Z$1,FALSE)</f>
        <v>789819</v>
      </c>
      <c r="AA33">
        <f>VLOOKUP($A33,'MF-225'!$A$2:$BV$53,AA$1,FALSE)</f>
        <v>821055</v>
      </c>
      <c r="AB33">
        <f>VLOOKUP($A33,'MF-225'!$A$2:$BV$53,AB$1,FALSE)</f>
        <v>768334</v>
      </c>
      <c r="AC33">
        <f>VLOOKUP($A33,'MF-225'!$A$2:$BV$53,AC$1,FALSE)</f>
        <v>902613</v>
      </c>
      <c r="AD33">
        <f>VLOOKUP($A33,'MF-225'!$A$2:$BV$53,AD$1,FALSE)</f>
        <v>814832</v>
      </c>
      <c r="AE33">
        <f>VLOOKUP($A33,'MF-225'!$A$2:$BV$53,AE$1,FALSE)</f>
        <v>810218</v>
      </c>
      <c r="AF33">
        <f>VLOOKUP($A33,'MF-225'!$A$2:$BV$53,AF$1,FALSE)</f>
        <v>800663</v>
      </c>
      <c r="AG33">
        <f>VLOOKUP($A33,'MF-225'!$A$2:$BV$53,AG$1,FALSE)</f>
        <v>737611</v>
      </c>
      <c r="AH33">
        <f>VLOOKUP($A33,'MF-225'!$A$2:$BV$53,AH$1,FALSE)</f>
        <v>789011</v>
      </c>
    </row>
    <row r="34" spans="1:34">
      <c r="A34" t="s">
        <v>30</v>
      </c>
      <c r="B34" t="str">
        <f>VLOOKUP(A34,'State Codes'!$C$10:$D$63,2,FALSE)</f>
        <v>NM</v>
      </c>
      <c r="C34">
        <f>VLOOKUP($A34,'MF-225'!$A$2:$BV$53,C$1,FALSE)</f>
        <v>222638</v>
      </c>
      <c r="D34">
        <f>VLOOKUP($A34,'MF-225'!$A$2:$BV$53,D$1,FALSE)</f>
        <v>222040</v>
      </c>
      <c r="E34">
        <f>VLOOKUP($A34,'MF-225'!$A$2:$BV$53,E$1,FALSE)</f>
        <v>234556</v>
      </c>
      <c r="F34">
        <f>VLOOKUP($A34,'MF-225'!$A$2:$BV$53,F$1,FALSE)</f>
        <v>317607</v>
      </c>
      <c r="G34">
        <f>VLOOKUP($A34,'MF-225'!$A$2:$BV$53,G$1,FALSE)</f>
        <v>320583</v>
      </c>
      <c r="H34">
        <f>VLOOKUP($A34,'MF-225'!$A$2:$BV$53,H$1,FALSE)</f>
        <v>310008</v>
      </c>
      <c r="I34">
        <f>VLOOKUP($A34,'MF-225'!$A$2:$BV$53,I$1,FALSE)</f>
        <v>317110</v>
      </c>
      <c r="J34">
        <f>VLOOKUP($A34,'MF-225'!$A$2:$BV$53,J$1,FALSE)</f>
        <v>342951</v>
      </c>
      <c r="K34">
        <f>VLOOKUP($A34,'MF-225'!$A$2:$BV$53,K$1,FALSE)</f>
        <v>395483</v>
      </c>
      <c r="L34">
        <f>VLOOKUP($A34,'MF-225'!$A$2:$BV$53,L$1,FALSE)</f>
        <v>400522</v>
      </c>
      <c r="M34">
        <f>VLOOKUP($A34,'MF-225'!$A$2:$BV$53,M$1,FALSE)</f>
        <v>405626</v>
      </c>
      <c r="N34">
        <f>VLOOKUP($A34,'MF-225'!$A$2:$BV$53,N$1,FALSE)</f>
        <v>404774</v>
      </c>
      <c r="O34">
        <f>VLOOKUP($A34,'MF-225'!$A$2:$BV$53,O$1,FALSE)</f>
        <v>420180</v>
      </c>
      <c r="P34">
        <f>VLOOKUP($A34,'MF-225'!$A$2:$BV$53,P$1,FALSE)</f>
        <v>440275</v>
      </c>
      <c r="Q34">
        <f>VLOOKUP($A34,'MF-225'!$A$2:$BV$53,Q$1,FALSE)</f>
        <v>467001</v>
      </c>
      <c r="R34">
        <f>VLOOKUP($A34,'MF-225'!$A$2:$BV$53,R$1,FALSE)</f>
        <v>481766</v>
      </c>
      <c r="S34">
        <f>VLOOKUP($A34,'MF-225'!$A$2:$BV$53,S$1,FALSE)</f>
        <v>520578</v>
      </c>
      <c r="T34">
        <f>VLOOKUP($A34,'MF-225'!$A$2:$BV$53,T$1,FALSE)</f>
        <v>532246</v>
      </c>
      <c r="U34">
        <f>VLOOKUP($A34,'MF-225'!$A$2:$BV$53,U$1,FALSE)</f>
        <v>474110.41099999996</v>
      </c>
      <c r="V34">
        <f>VLOOKUP($A34,'MF-225'!$A$2:$BV$53,V$1,FALSE)</f>
        <v>451286.57199999999</v>
      </c>
      <c r="W34">
        <f>VLOOKUP($A34,'MF-225'!$A$2:$BV$53,W$1,FALSE)</f>
        <v>473759.75599999994</v>
      </c>
      <c r="X34">
        <f>VLOOKUP($A34,'MF-225'!$A$2:$BV$53,X$1,FALSE)</f>
        <v>513615.20500000002</v>
      </c>
      <c r="Y34">
        <f>VLOOKUP($A34,'MF-225'!$A$2:$BV$53,Y$1,FALSE)</f>
        <v>513198.46299999999</v>
      </c>
      <c r="Z34">
        <f>VLOOKUP($A34,'MF-225'!$A$2:$BV$53,Z$1,FALSE)</f>
        <v>506568</v>
      </c>
      <c r="AA34">
        <f>VLOOKUP($A34,'MF-225'!$A$2:$BV$53,AA$1,FALSE)</f>
        <v>530367</v>
      </c>
      <c r="AB34">
        <f>VLOOKUP($A34,'MF-225'!$A$2:$BV$53,AB$1,FALSE)</f>
        <v>537064</v>
      </c>
      <c r="AC34">
        <f>VLOOKUP($A34,'MF-225'!$A$2:$BV$53,AC$1,FALSE)</f>
        <v>540186</v>
      </c>
      <c r="AD34">
        <f>VLOOKUP($A34,'MF-225'!$A$2:$BV$53,AD$1,FALSE)</f>
        <v>573881</v>
      </c>
      <c r="AE34">
        <f>VLOOKUP($A34,'MF-225'!$A$2:$BV$53,AE$1,FALSE)</f>
        <v>579381</v>
      </c>
      <c r="AF34">
        <f>VLOOKUP($A34,'MF-225'!$A$2:$BV$53,AF$1,FALSE)</f>
        <v>607689</v>
      </c>
      <c r="AG34">
        <f>VLOOKUP($A34,'MF-225'!$A$2:$BV$53,AG$1,FALSE)</f>
        <v>637095</v>
      </c>
      <c r="AH34">
        <f>VLOOKUP($A34,'MF-225'!$A$2:$BV$53,AH$1,FALSE)</f>
        <v>727789</v>
      </c>
    </row>
    <row r="35" spans="1:34">
      <c r="A35" t="s">
        <v>96</v>
      </c>
      <c r="B35" t="str">
        <f>VLOOKUP(A35,'State Codes'!$C$10:$D$63,2,FALSE)</f>
        <v>NY</v>
      </c>
      <c r="C35">
        <f>VLOOKUP($A35,'MF-225'!$A$2:$BV$53,C$1,FALSE)</f>
        <v>859646</v>
      </c>
      <c r="D35">
        <f>VLOOKUP($A35,'MF-225'!$A$2:$BV$53,D$1,FALSE)</f>
        <v>807221</v>
      </c>
      <c r="E35">
        <f>VLOOKUP($A35,'MF-225'!$A$2:$BV$53,E$1,FALSE)</f>
        <v>838520</v>
      </c>
      <c r="F35">
        <f>VLOOKUP($A35,'MF-225'!$A$2:$BV$53,F$1,FALSE)</f>
        <v>862944</v>
      </c>
      <c r="G35">
        <f>VLOOKUP($A35,'MF-225'!$A$2:$BV$53,G$1,FALSE)</f>
        <v>916983</v>
      </c>
      <c r="H35">
        <f>VLOOKUP($A35,'MF-225'!$A$2:$BV$53,H$1,FALSE)</f>
        <v>921800</v>
      </c>
      <c r="I35">
        <f>VLOOKUP($A35,'MF-225'!$A$2:$BV$53,I$1,FALSE)</f>
        <v>931040</v>
      </c>
      <c r="J35">
        <f>VLOOKUP($A35,'MF-225'!$A$2:$BV$53,J$1,FALSE)</f>
        <v>908532</v>
      </c>
      <c r="K35">
        <f>VLOOKUP($A35,'MF-225'!$A$2:$BV$53,K$1,FALSE)</f>
        <v>960070</v>
      </c>
      <c r="L35">
        <f>VLOOKUP($A35,'MF-225'!$A$2:$BV$53,L$1,FALSE)</f>
        <v>1018288</v>
      </c>
      <c r="M35">
        <f>VLOOKUP($A35,'MF-225'!$A$2:$BV$53,M$1,FALSE)</f>
        <v>993979</v>
      </c>
      <c r="N35">
        <f>VLOOKUP($A35,'MF-225'!$A$2:$BV$53,N$1,FALSE)</f>
        <v>963076</v>
      </c>
      <c r="O35">
        <f>VLOOKUP($A35,'MF-225'!$A$2:$BV$53,O$1,FALSE)</f>
        <v>1168072</v>
      </c>
      <c r="P35">
        <f>VLOOKUP($A35,'MF-225'!$A$2:$BV$53,P$1,FALSE)</f>
        <v>1262914</v>
      </c>
      <c r="Q35">
        <f>VLOOKUP($A35,'MF-225'!$A$2:$BV$53,Q$1,FALSE)</f>
        <v>1415523</v>
      </c>
      <c r="R35">
        <f>VLOOKUP($A35,'MF-225'!$A$2:$BV$53,R$1,FALSE)</f>
        <v>1436531</v>
      </c>
      <c r="S35">
        <f>VLOOKUP($A35,'MF-225'!$A$2:$BV$53,S$1,FALSE)</f>
        <v>1374167</v>
      </c>
      <c r="T35">
        <f>VLOOKUP($A35,'MF-225'!$A$2:$BV$53,T$1,FALSE)</f>
        <v>1431990</v>
      </c>
      <c r="U35">
        <f>VLOOKUP($A35,'MF-225'!$A$2:$BV$53,U$1,FALSE)</f>
        <v>1423315.5379999997</v>
      </c>
      <c r="V35">
        <f>VLOOKUP($A35,'MF-225'!$A$2:$BV$53,V$1,FALSE)</f>
        <v>1358397.3510000003</v>
      </c>
      <c r="W35">
        <f>VLOOKUP($A35,'MF-225'!$A$2:$BV$53,W$1,FALSE)</f>
        <v>1358578.1529999999</v>
      </c>
      <c r="X35">
        <f>VLOOKUP($A35,'MF-225'!$A$2:$BV$53,X$1,FALSE)</f>
        <v>1350321.754</v>
      </c>
      <c r="Y35">
        <f>VLOOKUP($A35,'MF-225'!$A$2:$BV$53,Y$1,FALSE)</f>
        <v>1367780.007</v>
      </c>
      <c r="Z35">
        <f>VLOOKUP($A35,'MF-225'!$A$2:$BV$53,Z$1,FALSE)</f>
        <v>1351193</v>
      </c>
      <c r="AA35">
        <f>VLOOKUP($A35,'MF-225'!$A$2:$BV$53,AA$1,FALSE)</f>
        <v>1383410</v>
      </c>
      <c r="AB35">
        <f>VLOOKUP($A35,'MF-225'!$A$2:$BV$53,AB$1,FALSE)</f>
        <v>1397147</v>
      </c>
      <c r="AC35">
        <f>VLOOKUP($A35,'MF-225'!$A$2:$BV$53,AC$1,FALSE)</f>
        <v>1500126</v>
      </c>
      <c r="AD35">
        <f>VLOOKUP($A35,'MF-225'!$A$2:$BV$53,AD$1,FALSE)</f>
        <v>1560007</v>
      </c>
      <c r="AE35">
        <f>VLOOKUP($A35,'MF-225'!$A$2:$BV$53,AE$1,FALSE)</f>
        <v>1325256</v>
      </c>
      <c r="AF35">
        <f>VLOOKUP($A35,'MF-225'!$A$2:$BV$53,AF$1,FALSE)</f>
        <v>1499237</v>
      </c>
      <c r="AG35">
        <f>VLOOKUP($A35,'MF-225'!$A$2:$BV$53,AG$1,FALSE)</f>
        <v>1371684</v>
      </c>
      <c r="AH35">
        <f>VLOOKUP($A35,'MF-225'!$A$2:$BV$53,AH$1,FALSE)</f>
        <v>1444782</v>
      </c>
    </row>
    <row r="36" spans="1:34">
      <c r="A36" t="s">
        <v>31</v>
      </c>
      <c r="B36" t="str">
        <f>VLOOKUP(A36,'State Codes'!$C$10:$D$63,2,FALSE)</f>
        <v>NC</v>
      </c>
      <c r="C36">
        <f>VLOOKUP($A36,'MF-225'!$A$2:$BV$53,C$1,FALSE)</f>
        <v>627675</v>
      </c>
      <c r="D36">
        <f>VLOOKUP($A36,'MF-225'!$A$2:$BV$53,D$1,FALSE)</f>
        <v>604982</v>
      </c>
      <c r="E36">
        <f>VLOOKUP($A36,'MF-225'!$A$2:$BV$53,E$1,FALSE)</f>
        <v>646668</v>
      </c>
      <c r="F36">
        <f>VLOOKUP($A36,'MF-225'!$A$2:$BV$53,F$1,FALSE)</f>
        <v>666330</v>
      </c>
      <c r="G36">
        <f>VLOOKUP($A36,'MF-225'!$A$2:$BV$53,G$1,FALSE)</f>
        <v>772022</v>
      </c>
      <c r="H36">
        <f>VLOOKUP($A36,'MF-225'!$A$2:$BV$53,H$1,FALSE)</f>
        <v>780523</v>
      </c>
      <c r="I36">
        <f>VLOOKUP($A36,'MF-225'!$A$2:$BV$53,I$1,FALSE)</f>
        <v>799876</v>
      </c>
      <c r="J36">
        <f>VLOOKUP($A36,'MF-225'!$A$2:$BV$53,J$1,FALSE)</f>
        <v>850327</v>
      </c>
      <c r="K36">
        <f>VLOOKUP($A36,'MF-225'!$A$2:$BV$53,K$1,FALSE)</f>
        <v>898737</v>
      </c>
      <c r="L36">
        <f>VLOOKUP($A36,'MF-225'!$A$2:$BV$53,L$1,FALSE)</f>
        <v>883343</v>
      </c>
      <c r="M36">
        <f>VLOOKUP($A36,'MF-225'!$A$2:$BV$53,M$1,FALSE)</f>
        <v>1021070</v>
      </c>
      <c r="N36">
        <f>VLOOKUP($A36,'MF-225'!$A$2:$BV$53,N$1,FALSE)</f>
        <v>958844</v>
      </c>
      <c r="O36">
        <f>VLOOKUP($A36,'MF-225'!$A$2:$BV$53,O$1,FALSE)</f>
        <v>980564</v>
      </c>
      <c r="P36">
        <f>VLOOKUP($A36,'MF-225'!$A$2:$BV$53,P$1,FALSE)</f>
        <v>1040189</v>
      </c>
      <c r="Q36">
        <f>VLOOKUP($A36,'MF-225'!$A$2:$BV$53,Q$1,FALSE)</f>
        <v>1101259</v>
      </c>
      <c r="R36">
        <f>VLOOKUP($A36,'MF-225'!$A$2:$BV$53,R$1,FALSE)</f>
        <v>1106741</v>
      </c>
      <c r="S36">
        <f>VLOOKUP($A36,'MF-225'!$A$2:$BV$53,S$1,FALSE)</f>
        <v>1123274</v>
      </c>
      <c r="T36">
        <f>VLOOKUP($A36,'MF-225'!$A$2:$BV$53,T$1,FALSE)</f>
        <v>1113940</v>
      </c>
      <c r="U36">
        <f>VLOOKUP($A36,'MF-225'!$A$2:$BV$53,U$1,FALSE)</f>
        <v>1021664.581</v>
      </c>
      <c r="V36">
        <f>VLOOKUP($A36,'MF-225'!$A$2:$BV$53,V$1,FALSE)</f>
        <v>934388.04099999997</v>
      </c>
      <c r="W36">
        <f>VLOOKUP($A36,'MF-225'!$A$2:$BV$53,W$1,FALSE)</f>
        <v>991653.91899999999</v>
      </c>
      <c r="X36">
        <f>VLOOKUP($A36,'MF-225'!$A$2:$BV$53,X$1,FALSE)</f>
        <v>997770.56700000004</v>
      </c>
      <c r="Y36">
        <f>VLOOKUP($A36,'MF-225'!$A$2:$BV$53,Y$1,FALSE)</f>
        <v>957407.12800000003</v>
      </c>
      <c r="Z36">
        <f>VLOOKUP($A36,'MF-225'!$A$2:$BV$53,Z$1,FALSE)</f>
        <v>983484</v>
      </c>
      <c r="AA36">
        <f>VLOOKUP($A36,'MF-225'!$A$2:$BV$53,AA$1,FALSE)</f>
        <v>1029810</v>
      </c>
      <c r="AB36">
        <f>VLOOKUP($A36,'MF-225'!$A$2:$BV$53,AB$1,FALSE)</f>
        <v>1068776</v>
      </c>
      <c r="AC36">
        <f>VLOOKUP($A36,'MF-225'!$A$2:$BV$53,AC$1,FALSE)</f>
        <v>1114409</v>
      </c>
      <c r="AD36">
        <f>VLOOKUP($A36,'MF-225'!$A$2:$BV$53,AD$1,FALSE)</f>
        <v>1145983</v>
      </c>
      <c r="AE36">
        <f>VLOOKUP($A36,'MF-225'!$A$2:$BV$53,AE$1,FALSE)</f>
        <v>1173039</v>
      </c>
      <c r="AF36">
        <f>VLOOKUP($A36,'MF-225'!$A$2:$BV$53,AF$1,FALSE)</f>
        <v>1207990</v>
      </c>
      <c r="AG36">
        <f>VLOOKUP($A36,'MF-225'!$A$2:$BV$53,AG$1,FALSE)</f>
        <v>1211035</v>
      </c>
      <c r="AH36">
        <f>VLOOKUP($A36,'MF-225'!$A$2:$BV$53,AH$1,FALSE)</f>
        <v>1245572</v>
      </c>
    </row>
    <row r="37" spans="1:34">
      <c r="A37" t="s">
        <v>32</v>
      </c>
      <c r="B37" t="str">
        <f>VLOOKUP(A37,'State Codes'!$C$10:$D$63,2,FALSE)</f>
        <v>ND</v>
      </c>
      <c r="C37">
        <f>VLOOKUP($A37,'MF-225'!$A$2:$BV$53,C$1,FALSE)</f>
        <v>93125</v>
      </c>
      <c r="D37">
        <f>VLOOKUP($A37,'MF-225'!$A$2:$BV$53,D$1,FALSE)</f>
        <v>96976</v>
      </c>
      <c r="E37">
        <f>VLOOKUP($A37,'MF-225'!$A$2:$BV$53,E$1,FALSE)</f>
        <v>102117</v>
      </c>
      <c r="F37">
        <f>VLOOKUP($A37,'MF-225'!$A$2:$BV$53,F$1,FALSE)</f>
        <v>111546</v>
      </c>
      <c r="G37">
        <f>VLOOKUP($A37,'MF-225'!$A$2:$BV$53,G$1,FALSE)</f>
        <v>131478</v>
      </c>
      <c r="H37">
        <f>VLOOKUP($A37,'MF-225'!$A$2:$BV$53,H$1,FALSE)</f>
        <v>134367</v>
      </c>
      <c r="I37">
        <f>VLOOKUP($A37,'MF-225'!$A$2:$BV$53,I$1,FALSE)</f>
        <v>137112</v>
      </c>
      <c r="J37">
        <f>VLOOKUP($A37,'MF-225'!$A$2:$BV$53,J$1,FALSE)</f>
        <v>138701</v>
      </c>
      <c r="K37">
        <f>VLOOKUP($A37,'MF-225'!$A$2:$BV$53,K$1,FALSE)</f>
        <v>144136</v>
      </c>
      <c r="L37">
        <f>VLOOKUP($A37,'MF-225'!$A$2:$BV$53,L$1,FALSE)</f>
        <v>142621</v>
      </c>
      <c r="M37">
        <f>VLOOKUP($A37,'MF-225'!$A$2:$BV$53,M$1,FALSE)</f>
        <v>144134</v>
      </c>
      <c r="N37">
        <f>VLOOKUP($A37,'MF-225'!$A$2:$BV$53,N$1,FALSE)</f>
        <v>150894</v>
      </c>
      <c r="O37">
        <f>VLOOKUP($A37,'MF-225'!$A$2:$BV$53,O$1,FALSE)</f>
        <v>150009</v>
      </c>
      <c r="P37">
        <f>VLOOKUP($A37,'MF-225'!$A$2:$BV$53,P$1,FALSE)</f>
        <v>155976</v>
      </c>
      <c r="Q37">
        <f>VLOOKUP($A37,'MF-225'!$A$2:$BV$53,Q$1,FALSE)</f>
        <v>157055</v>
      </c>
      <c r="R37">
        <f>VLOOKUP($A37,'MF-225'!$A$2:$BV$53,R$1,FALSE)</f>
        <v>172253</v>
      </c>
      <c r="S37">
        <f>VLOOKUP($A37,'MF-225'!$A$2:$BV$53,S$1,FALSE)</f>
        <v>170425</v>
      </c>
      <c r="T37">
        <f>VLOOKUP($A37,'MF-225'!$A$2:$BV$53,T$1,FALSE)</f>
        <v>182784</v>
      </c>
      <c r="U37">
        <f>VLOOKUP($A37,'MF-225'!$A$2:$BV$53,U$1,FALSE)</f>
        <v>198541.36499999996</v>
      </c>
      <c r="V37">
        <f>VLOOKUP($A37,'MF-225'!$A$2:$BV$53,V$1,FALSE)</f>
        <v>198426.57499999998</v>
      </c>
      <c r="W37">
        <f>VLOOKUP($A37,'MF-225'!$A$2:$BV$53,W$1,FALSE)</f>
        <v>239161.30700000003</v>
      </c>
      <c r="X37">
        <f>VLOOKUP($A37,'MF-225'!$A$2:$BV$53,X$1,FALSE)</f>
        <v>320062.33199999999</v>
      </c>
      <c r="Y37">
        <f>VLOOKUP($A37,'MF-225'!$A$2:$BV$53,Y$1,FALSE)</f>
        <v>378361.23800000001</v>
      </c>
      <c r="Z37">
        <f>VLOOKUP($A37,'MF-225'!$A$2:$BV$53,Z$1,FALSE)</f>
        <v>394677</v>
      </c>
      <c r="AA37">
        <f>VLOOKUP($A37,'MF-225'!$A$2:$BV$53,AA$1,FALSE)</f>
        <v>419455</v>
      </c>
      <c r="AB37">
        <f>VLOOKUP($A37,'MF-225'!$A$2:$BV$53,AB$1,FALSE)</f>
        <v>354138</v>
      </c>
      <c r="AC37">
        <f>VLOOKUP($A37,'MF-225'!$A$2:$BV$53,AC$1,FALSE)</f>
        <v>291814</v>
      </c>
      <c r="AD37">
        <f>VLOOKUP($A37,'MF-225'!$A$2:$BV$53,AD$1,FALSE)</f>
        <v>311335</v>
      </c>
      <c r="AE37">
        <f>VLOOKUP($A37,'MF-225'!$A$2:$BV$53,AE$1,FALSE)</f>
        <v>324171</v>
      </c>
      <c r="AF37">
        <f>VLOOKUP($A37,'MF-225'!$A$2:$BV$53,AF$1,FALSE)</f>
        <v>321072</v>
      </c>
      <c r="AG37">
        <f>VLOOKUP($A37,'MF-225'!$A$2:$BV$53,AG$1,FALSE)</f>
        <v>280858</v>
      </c>
      <c r="AH37">
        <f>VLOOKUP($A37,'MF-225'!$A$2:$BV$53,AH$1,FALSE)</f>
        <v>275285</v>
      </c>
    </row>
    <row r="38" spans="1:34">
      <c r="A38" t="s">
        <v>33</v>
      </c>
      <c r="B38" t="str">
        <f>VLOOKUP(A38,'State Codes'!$C$10:$D$63,2,FALSE)</f>
        <v>OH</v>
      </c>
      <c r="C38">
        <f>VLOOKUP($A38,'MF-225'!$A$2:$BV$53,C$1,FALSE)</f>
        <v>964868</v>
      </c>
      <c r="D38">
        <f>VLOOKUP($A38,'MF-225'!$A$2:$BV$53,D$1,FALSE)</f>
        <v>896861</v>
      </c>
      <c r="E38">
        <f>VLOOKUP($A38,'MF-225'!$A$2:$BV$53,E$1,FALSE)</f>
        <v>971630</v>
      </c>
      <c r="F38">
        <f>VLOOKUP($A38,'MF-225'!$A$2:$BV$53,F$1,FALSE)</f>
        <v>1000343</v>
      </c>
      <c r="G38">
        <f>VLOOKUP($A38,'MF-225'!$A$2:$BV$53,G$1,FALSE)</f>
        <v>1115338</v>
      </c>
      <c r="H38">
        <f>VLOOKUP($A38,'MF-225'!$A$2:$BV$53,H$1,FALSE)</f>
        <v>1203536</v>
      </c>
      <c r="I38">
        <f>VLOOKUP($A38,'MF-225'!$A$2:$BV$53,I$1,FALSE)</f>
        <v>1245200</v>
      </c>
      <c r="J38">
        <f>VLOOKUP($A38,'MF-225'!$A$2:$BV$53,J$1,FALSE)</f>
        <v>1367058</v>
      </c>
      <c r="K38">
        <f>VLOOKUP($A38,'MF-225'!$A$2:$BV$53,K$1,FALSE)</f>
        <v>1383288</v>
      </c>
      <c r="L38">
        <f>VLOOKUP($A38,'MF-225'!$A$2:$BV$53,L$1,FALSE)</f>
        <v>1523918</v>
      </c>
      <c r="M38">
        <f>VLOOKUP($A38,'MF-225'!$A$2:$BV$53,M$1,FALSE)</f>
        <v>1510523</v>
      </c>
      <c r="N38">
        <f>VLOOKUP($A38,'MF-225'!$A$2:$BV$53,N$1,FALSE)</f>
        <v>1475619</v>
      </c>
      <c r="O38">
        <f>VLOOKUP($A38,'MF-225'!$A$2:$BV$53,O$1,FALSE)</f>
        <v>1505012</v>
      </c>
      <c r="P38">
        <f>VLOOKUP($A38,'MF-225'!$A$2:$BV$53,P$1,FALSE)</f>
        <v>1520063</v>
      </c>
      <c r="Q38">
        <f>VLOOKUP($A38,'MF-225'!$A$2:$BV$53,Q$1,FALSE)</f>
        <v>1589020</v>
      </c>
      <c r="R38">
        <f>VLOOKUP($A38,'MF-225'!$A$2:$BV$53,R$1,FALSE)</f>
        <v>1616611</v>
      </c>
      <c r="S38">
        <f>VLOOKUP($A38,'MF-225'!$A$2:$BV$53,S$1,FALSE)</f>
        <v>1602008</v>
      </c>
      <c r="T38">
        <f>VLOOKUP($A38,'MF-225'!$A$2:$BV$53,T$1,FALSE)</f>
        <v>1607615</v>
      </c>
      <c r="U38">
        <f>VLOOKUP($A38,'MF-225'!$A$2:$BV$53,U$1,FALSE)</f>
        <v>1514163.689</v>
      </c>
      <c r="V38">
        <f>VLOOKUP($A38,'MF-225'!$A$2:$BV$53,V$1,FALSE)</f>
        <v>1337711.6340000001</v>
      </c>
      <c r="W38">
        <f>VLOOKUP($A38,'MF-225'!$A$2:$BV$53,W$1,FALSE)</f>
        <v>1452069.5239999997</v>
      </c>
      <c r="X38">
        <f>VLOOKUP($A38,'MF-225'!$A$2:$BV$53,X$1,FALSE)</f>
        <v>1472441.3250000002</v>
      </c>
      <c r="Y38">
        <f>VLOOKUP($A38,'MF-225'!$A$2:$BV$53,Y$1,FALSE)</f>
        <v>1466076.9510000001</v>
      </c>
      <c r="Z38">
        <f>VLOOKUP($A38,'MF-225'!$A$2:$BV$53,Z$1,FALSE)</f>
        <v>1503718</v>
      </c>
      <c r="AA38">
        <f>VLOOKUP($A38,'MF-225'!$A$2:$BV$53,AA$1,FALSE)</f>
        <v>1558782</v>
      </c>
      <c r="AB38">
        <f>VLOOKUP($A38,'MF-225'!$A$2:$BV$53,AB$1,FALSE)</f>
        <v>1586290</v>
      </c>
      <c r="AC38">
        <f>VLOOKUP($A38,'MF-225'!$A$2:$BV$53,AC$1,FALSE)</f>
        <v>1588495</v>
      </c>
      <c r="AD38">
        <f>VLOOKUP($A38,'MF-225'!$A$2:$BV$53,AD$1,FALSE)</f>
        <v>1647488</v>
      </c>
      <c r="AE38">
        <f>VLOOKUP($A38,'MF-225'!$A$2:$BV$53,AE$1,FALSE)</f>
        <v>1681933</v>
      </c>
      <c r="AF38">
        <f>VLOOKUP($A38,'MF-225'!$A$2:$BV$53,AF$1,FALSE)</f>
        <v>1656621</v>
      </c>
      <c r="AG38">
        <f>VLOOKUP($A38,'MF-225'!$A$2:$BV$53,AG$1,FALSE)</f>
        <v>1608577</v>
      </c>
      <c r="AH38">
        <f>VLOOKUP($A38,'MF-225'!$A$2:$BV$53,AH$1,FALSE)</f>
        <v>1689050</v>
      </c>
    </row>
    <row r="39" spans="1:34">
      <c r="A39" t="s">
        <v>34</v>
      </c>
      <c r="B39" t="str">
        <f>VLOOKUP(A39,'State Codes'!$C$10:$D$63,2,FALSE)</f>
        <v>OK</v>
      </c>
      <c r="C39">
        <f>VLOOKUP($A39,'MF-225'!$A$2:$BV$53,C$1,FALSE)</f>
        <v>395777</v>
      </c>
      <c r="D39">
        <f>VLOOKUP($A39,'MF-225'!$A$2:$BV$53,D$1,FALSE)</f>
        <v>357339</v>
      </c>
      <c r="E39">
        <f>VLOOKUP($A39,'MF-225'!$A$2:$BV$53,E$1,FALSE)</f>
        <v>398416</v>
      </c>
      <c r="F39">
        <f>VLOOKUP($A39,'MF-225'!$A$2:$BV$53,F$1,FALSE)</f>
        <v>433000</v>
      </c>
      <c r="G39">
        <f>VLOOKUP($A39,'MF-225'!$A$2:$BV$53,G$1,FALSE)</f>
        <v>478305</v>
      </c>
      <c r="H39">
        <f>VLOOKUP($A39,'MF-225'!$A$2:$BV$53,H$1,FALSE)</f>
        <v>497583</v>
      </c>
      <c r="I39">
        <f>VLOOKUP($A39,'MF-225'!$A$2:$BV$53,I$1,FALSE)</f>
        <v>544769</v>
      </c>
      <c r="J39">
        <f>VLOOKUP($A39,'MF-225'!$A$2:$BV$53,J$1,FALSE)</f>
        <v>563281</v>
      </c>
      <c r="K39">
        <f>VLOOKUP($A39,'MF-225'!$A$2:$BV$53,K$1,FALSE)</f>
        <v>566856</v>
      </c>
      <c r="L39">
        <f>VLOOKUP($A39,'MF-225'!$A$2:$BV$53,L$1,FALSE)</f>
        <v>616674</v>
      </c>
      <c r="M39">
        <f>VLOOKUP($A39,'MF-225'!$A$2:$BV$53,M$1,FALSE)</f>
        <v>728864</v>
      </c>
      <c r="N39">
        <f>VLOOKUP($A39,'MF-225'!$A$2:$BV$53,N$1,FALSE)</f>
        <v>947815</v>
      </c>
      <c r="O39">
        <f>VLOOKUP($A39,'MF-225'!$A$2:$BV$53,O$1,FALSE)</f>
        <v>807251</v>
      </c>
      <c r="P39">
        <f>VLOOKUP($A39,'MF-225'!$A$2:$BV$53,P$1,FALSE)</f>
        <v>629841</v>
      </c>
      <c r="Q39">
        <f>VLOOKUP($A39,'MF-225'!$A$2:$BV$53,Q$1,FALSE)</f>
        <v>638929</v>
      </c>
      <c r="R39">
        <f>VLOOKUP($A39,'MF-225'!$A$2:$BV$53,R$1,FALSE)</f>
        <v>747224</v>
      </c>
      <c r="S39">
        <f>VLOOKUP($A39,'MF-225'!$A$2:$BV$53,S$1,FALSE)</f>
        <v>780905</v>
      </c>
      <c r="T39">
        <f>VLOOKUP($A39,'MF-225'!$A$2:$BV$53,T$1,FALSE)</f>
        <v>841118</v>
      </c>
      <c r="U39">
        <f>VLOOKUP($A39,'MF-225'!$A$2:$BV$53,U$1,FALSE)</f>
        <v>907061.51199999999</v>
      </c>
      <c r="V39">
        <f>VLOOKUP($A39,'MF-225'!$A$2:$BV$53,V$1,FALSE)</f>
        <v>730465.5680000002</v>
      </c>
      <c r="W39">
        <f>VLOOKUP($A39,'MF-225'!$A$2:$BV$53,W$1,FALSE)</f>
        <v>777552.527</v>
      </c>
      <c r="X39">
        <f>VLOOKUP($A39,'MF-225'!$A$2:$BV$53,X$1,FALSE)</f>
        <v>790148.65700000012</v>
      </c>
      <c r="Y39">
        <f>VLOOKUP($A39,'MF-225'!$A$2:$BV$53,Y$1,FALSE)</f>
        <v>816781.01300000004</v>
      </c>
      <c r="Z39">
        <f>VLOOKUP($A39,'MF-225'!$A$2:$BV$53,Z$1,FALSE)</f>
        <v>871121</v>
      </c>
      <c r="AA39">
        <f>VLOOKUP($A39,'MF-225'!$A$2:$BV$53,AA$1,FALSE)</f>
        <v>877727</v>
      </c>
      <c r="AB39">
        <f>VLOOKUP($A39,'MF-225'!$A$2:$BV$53,AB$1,FALSE)</f>
        <v>864089</v>
      </c>
      <c r="AC39">
        <f>VLOOKUP($A39,'MF-225'!$A$2:$BV$53,AC$1,FALSE)</f>
        <v>887342</v>
      </c>
      <c r="AD39">
        <f>VLOOKUP($A39,'MF-225'!$A$2:$BV$53,AD$1,FALSE)</f>
        <v>973041</v>
      </c>
      <c r="AE39">
        <f>VLOOKUP($A39,'MF-225'!$A$2:$BV$53,AE$1,FALSE)</f>
        <v>945059</v>
      </c>
      <c r="AF39">
        <f>VLOOKUP($A39,'MF-225'!$A$2:$BV$53,AF$1,FALSE)</f>
        <v>932354</v>
      </c>
      <c r="AG39">
        <f>VLOOKUP($A39,'MF-225'!$A$2:$BV$53,AG$1,FALSE)</f>
        <v>904179</v>
      </c>
      <c r="AH39">
        <f>VLOOKUP($A39,'MF-225'!$A$2:$BV$53,AH$1,FALSE)</f>
        <v>962981</v>
      </c>
    </row>
    <row r="40" spans="1:34">
      <c r="A40" t="s">
        <v>102</v>
      </c>
      <c r="B40" t="str">
        <f>VLOOKUP(A40,'State Codes'!$C$10:$D$63,2,FALSE)</f>
        <v>OR</v>
      </c>
      <c r="C40">
        <f>VLOOKUP($A40,'MF-225'!$A$2:$BV$53,C$1,FALSE)</f>
        <v>338950</v>
      </c>
      <c r="D40">
        <f>VLOOKUP($A40,'MF-225'!$A$2:$BV$53,D$1,FALSE)</f>
        <v>337344</v>
      </c>
      <c r="E40">
        <f>VLOOKUP($A40,'MF-225'!$A$2:$BV$53,E$1,FALSE)</f>
        <v>333093</v>
      </c>
      <c r="F40">
        <f>VLOOKUP($A40,'MF-225'!$A$2:$BV$53,F$1,FALSE)</f>
        <v>349075</v>
      </c>
      <c r="G40">
        <f>VLOOKUP($A40,'MF-225'!$A$2:$BV$53,G$1,FALSE)</f>
        <v>340521</v>
      </c>
      <c r="H40">
        <f>VLOOKUP($A40,'MF-225'!$A$2:$BV$53,H$1,FALSE)</f>
        <v>356019</v>
      </c>
      <c r="I40">
        <f>VLOOKUP($A40,'MF-225'!$A$2:$BV$53,I$1,FALSE)</f>
        <v>388688</v>
      </c>
      <c r="J40">
        <f>VLOOKUP($A40,'MF-225'!$A$2:$BV$53,J$1,FALSE)</f>
        <v>400714</v>
      </c>
      <c r="K40">
        <f>VLOOKUP($A40,'MF-225'!$A$2:$BV$53,K$1,FALSE)</f>
        <v>421482</v>
      </c>
      <c r="L40">
        <f>VLOOKUP($A40,'MF-225'!$A$2:$BV$53,L$1,FALSE)</f>
        <v>430694</v>
      </c>
      <c r="M40">
        <f>VLOOKUP($A40,'MF-225'!$A$2:$BV$53,M$1,FALSE)</f>
        <v>424263</v>
      </c>
      <c r="N40">
        <f>VLOOKUP($A40,'MF-225'!$A$2:$BV$53,N$1,FALSE)</f>
        <v>416246</v>
      </c>
      <c r="O40">
        <f>VLOOKUP($A40,'MF-225'!$A$2:$BV$53,O$1,FALSE)</f>
        <v>460128</v>
      </c>
      <c r="P40">
        <f>VLOOKUP($A40,'MF-225'!$A$2:$BV$53,P$1,FALSE)</f>
        <v>492154</v>
      </c>
      <c r="Q40">
        <f>VLOOKUP($A40,'MF-225'!$A$2:$BV$53,Q$1,FALSE)</f>
        <v>524735</v>
      </c>
      <c r="R40">
        <f>VLOOKUP($A40,'MF-225'!$A$2:$BV$53,R$1,FALSE)</f>
        <v>538320</v>
      </c>
      <c r="S40">
        <f>VLOOKUP($A40,'MF-225'!$A$2:$BV$53,S$1,FALSE)</f>
        <v>546936</v>
      </c>
      <c r="T40">
        <f>VLOOKUP($A40,'MF-225'!$A$2:$BV$53,T$1,FALSE)</f>
        <v>563925</v>
      </c>
      <c r="U40">
        <f>VLOOKUP($A40,'MF-225'!$A$2:$BV$53,U$1,FALSE)</f>
        <v>540253.80199999991</v>
      </c>
      <c r="V40">
        <f>VLOOKUP($A40,'MF-225'!$A$2:$BV$53,V$1,FALSE)</f>
        <v>502709.23999999993</v>
      </c>
      <c r="W40">
        <f>VLOOKUP($A40,'MF-225'!$A$2:$BV$53,W$1,FALSE)</f>
        <v>518080.02999999997</v>
      </c>
      <c r="X40">
        <f>VLOOKUP($A40,'MF-225'!$A$2:$BV$53,X$1,FALSE)</f>
        <v>519213.95499999996</v>
      </c>
      <c r="Y40">
        <f>VLOOKUP($A40,'MF-225'!$A$2:$BV$53,Y$1,FALSE)</f>
        <v>513431.57100000005</v>
      </c>
      <c r="Z40">
        <f>VLOOKUP($A40,'MF-225'!$A$2:$BV$53,Z$1,FALSE)</f>
        <v>522774</v>
      </c>
      <c r="AA40">
        <f>VLOOKUP($A40,'MF-225'!$A$2:$BV$53,AA$1,FALSE)</f>
        <v>527830</v>
      </c>
      <c r="AB40">
        <f>VLOOKUP($A40,'MF-225'!$A$2:$BV$53,AB$1,FALSE)</f>
        <v>548509</v>
      </c>
      <c r="AC40">
        <f>VLOOKUP($A40,'MF-225'!$A$2:$BV$53,AC$1,FALSE)</f>
        <v>565570</v>
      </c>
      <c r="AD40">
        <f>VLOOKUP($A40,'MF-225'!$A$2:$BV$53,AD$1,FALSE)</f>
        <v>582029</v>
      </c>
      <c r="AE40">
        <f>VLOOKUP($A40,'MF-225'!$A$2:$BV$53,AE$1,FALSE)</f>
        <v>597908</v>
      </c>
      <c r="AF40">
        <f>VLOOKUP($A40,'MF-225'!$A$2:$BV$53,AF$1,FALSE)</f>
        <v>574017</v>
      </c>
      <c r="AG40">
        <f>VLOOKUP($A40,'MF-225'!$A$2:$BV$53,AG$1,FALSE)</f>
        <v>608856</v>
      </c>
      <c r="AH40">
        <f>VLOOKUP($A40,'MF-225'!$A$2:$BV$53,AH$1,FALSE)</f>
        <v>651040</v>
      </c>
    </row>
    <row r="41" spans="1:34">
      <c r="A41" t="s">
        <v>35</v>
      </c>
      <c r="B41" t="str">
        <f>VLOOKUP(A41,'State Codes'!$C$10:$D$63,2,FALSE)</f>
        <v>PA</v>
      </c>
      <c r="C41">
        <f>VLOOKUP($A41,'MF-225'!$A$2:$BV$53,C$1,FALSE)</f>
        <v>931630</v>
      </c>
      <c r="D41">
        <f>VLOOKUP($A41,'MF-225'!$A$2:$BV$53,D$1,FALSE)</f>
        <v>944766</v>
      </c>
      <c r="E41">
        <f>VLOOKUP($A41,'MF-225'!$A$2:$BV$53,E$1,FALSE)</f>
        <v>991763</v>
      </c>
      <c r="F41">
        <f>VLOOKUP($A41,'MF-225'!$A$2:$BV$53,F$1,FALSE)</f>
        <v>1092489</v>
      </c>
      <c r="G41">
        <f>VLOOKUP($A41,'MF-225'!$A$2:$BV$53,G$1,FALSE)</f>
        <v>1155819</v>
      </c>
      <c r="H41">
        <f>VLOOKUP($A41,'MF-225'!$A$2:$BV$53,H$1,FALSE)</f>
        <v>1201696</v>
      </c>
      <c r="I41">
        <f>VLOOKUP($A41,'MF-225'!$A$2:$BV$53,I$1,FALSE)</f>
        <v>1169284</v>
      </c>
      <c r="J41">
        <f>VLOOKUP($A41,'MF-225'!$A$2:$BV$53,J$1,FALSE)</f>
        <v>1241113</v>
      </c>
      <c r="K41">
        <f>VLOOKUP($A41,'MF-225'!$A$2:$BV$53,K$1,FALSE)</f>
        <v>1284877</v>
      </c>
      <c r="L41">
        <f>VLOOKUP($A41,'MF-225'!$A$2:$BV$53,L$1,FALSE)</f>
        <v>1353117</v>
      </c>
      <c r="M41">
        <f>VLOOKUP($A41,'MF-225'!$A$2:$BV$53,M$1,FALSE)</f>
        <v>1375265</v>
      </c>
      <c r="N41">
        <f>VLOOKUP($A41,'MF-225'!$A$2:$BV$53,N$1,FALSE)</f>
        <v>1386766</v>
      </c>
      <c r="O41">
        <f>VLOOKUP($A41,'MF-225'!$A$2:$BV$53,O$1,FALSE)</f>
        <v>1375493</v>
      </c>
      <c r="P41">
        <f>VLOOKUP($A41,'MF-225'!$A$2:$BV$53,P$1,FALSE)</f>
        <v>1390407</v>
      </c>
      <c r="Q41">
        <f>VLOOKUP($A41,'MF-225'!$A$2:$BV$53,Q$1,FALSE)</f>
        <v>1453121</v>
      </c>
      <c r="R41">
        <f>VLOOKUP($A41,'MF-225'!$A$2:$BV$53,R$1,FALSE)</f>
        <v>1577819</v>
      </c>
      <c r="S41">
        <f>VLOOKUP($A41,'MF-225'!$A$2:$BV$53,S$1,FALSE)</f>
        <v>1603146</v>
      </c>
      <c r="T41">
        <f>VLOOKUP($A41,'MF-225'!$A$2:$BV$53,T$1,FALSE)</f>
        <v>1565445</v>
      </c>
      <c r="U41">
        <f>VLOOKUP($A41,'MF-225'!$A$2:$BV$53,U$1,FALSE)</f>
        <v>1505544.4939999997</v>
      </c>
      <c r="V41">
        <f>VLOOKUP($A41,'MF-225'!$A$2:$BV$53,V$1,FALSE)</f>
        <v>1407281.8710000003</v>
      </c>
      <c r="W41">
        <f>VLOOKUP($A41,'MF-225'!$A$2:$BV$53,W$1,FALSE)</f>
        <v>1500590.23</v>
      </c>
      <c r="X41">
        <f>VLOOKUP($A41,'MF-225'!$A$2:$BV$53,X$1,FALSE)</f>
        <v>1541544.74</v>
      </c>
      <c r="Y41">
        <f>VLOOKUP($A41,'MF-225'!$A$2:$BV$53,Y$1,FALSE)</f>
        <v>1530058.6679999998</v>
      </c>
      <c r="Z41">
        <f>VLOOKUP($A41,'MF-225'!$A$2:$BV$53,Z$1,FALSE)</f>
        <v>1548170</v>
      </c>
      <c r="AA41">
        <f>VLOOKUP($A41,'MF-225'!$A$2:$BV$53,AA$1,FALSE)</f>
        <v>1591890</v>
      </c>
      <c r="AB41">
        <f>VLOOKUP($A41,'MF-225'!$A$2:$BV$53,AB$1,FALSE)</f>
        <v>1548917</v>
      </c>
      <c r="AC41">
        <f>VLOOKUP($A41,'MF-225'!$A$2:$BV$53,AC$1,FALSE)</f>
        <v>1492768</v>
      </c>
      <c r="AD41">
        <f>VLOOKUP($A41,'MF-225'!$A$2:$BV$53,AD$1,FALSE)</f>
        <v>1538691</v>
      </c>
      <c r="AE41">
        <f>VLOOKUP($A41,'MF-225'!$A$2:$BV$53,AE$1,FALSE)</f>
        <v>1500326</v>
      </c>
      <c r="AF41">
        <f>VLOOKUP($A41,'MF-225'!$A$2:$BV$53,AF$1,FALSE)</f>
        <v>1564703</v>
      </c>
      <c r="AG41">
        <f>VLOOKUP($A41,'MF-225'!$A$2:$BV$53,AG$1,FALSE)</f>
        <v>1475953</v>
      </c>
      <c r="AH41">
        <f>VLOOKUP($A41,'MF-225'!$A$2:$BV$53,AH$1,FALSE)</f>
        <v>1591463</v>
      </c>
    </row>
    <row r="42" spans="1:34">
      <c r="A42" t="s">
        <v>36</v>
      </c>
      <c r="B42" t="str">
        <f>VLOOKUP(A42,'State Codes'!$C$10:$D$63,2,FALSE)</f>
        <v>RI</v>
      </c>
      <c r="C42">
        <f>VLOOKUP($A42,'MF-225'!$A$2:$BV$53,C$1,FALSE)</f>
        <v>40827</v>
      </c>
      <c r="D42">
        <f>VLOOKUP($A42,'MF-225'!$A$2:$BV$53,D$1,FALSE)</f>
        <v>37801</v>
      </c>
      <c r="E42">
        <f>VLOOKUP($A42,'MF-225'!$A$2:$BV$53,E$1,FALSE)</f>
        <v>39935</v>
      </c>
      <c r="F42">
        <f>VLOOKUP($A42,'MF-225'!$A$2:$BV$53,F$1,FALSE)</f>
        <v>38353</v>
      </c>
      <c r="G42">
        <f>VLOOKUP($A42,'MF-225'!$A$2:$BV$53,G$1,FALSE)</f>
        <v>42183</v>
      </c>
      <c r="H42">
        <f>VLOOKUP($A42,'MF-225'!$A$2:$BV$53,H$1,FALSE)</f>
        <v>44471</v>
      </c>
      <c r="I42">
        <f>VLOOKUP($A42,'MF-225'!$A$2:$BV$53,I$1,FALSE)</f>
        <v>44659</v>
      </c>
      <c r="J42">
        <f>VLOOKUP($A42,'MF-225'!$A$2:$BV$53,J$1,FALSE)</f>
        <v>43640</v>
      </c>
      <c r="K42">
        <f>VLOOKUP($A42,'MF-225'!$A$2:$BV$53,K$1,FALSE)</f>
        <v>49007</v>
      </c>
      <c r="L42">
        <f>VLOOKUP($A42,'MF-225'!$A$2:$BV$53,L$1,FALSE)</f>
        <v>55844</v>
      </c>
      <c r="M42">
        <f>VLOOKUP($A42,'MF-225'!$A$2:$BV$53,M$1,FALSE)</f>
        <v>54317</v>
      </c>
      <c r="N42">
        <f>VLOOKUP($A42,'MF-225'!$A$2:$BV$53,N$1,FALSE)</f>
        <v>55091</v>
      </c>
      <c r="O42">
        <f>VLOOKUP($A42,'MF-225'!$A$2:$BV$53,O$1,FALSE)</f>
        <v>55033</v>
      </c>
      <c r="P42">
        <f>VLOOKUP($A42,'MF-225'!$A$2:$BV$53,P$1,FALSE)</f>
        <v>55033</v>
      </c>
      <c r="Q42">
        <f>VLOOKUP($A42,'MF-225'!$A$2:$BV$53,Q$1,FALSE)</f>
        <v>58288</v>
      </c>
      <c r="R42">
        <f>VLOOKUP($A42,'MF-225'!$A$2:$BV$53,R$1,FALSE)</f>
        <v>58288</v>
      </c>
      <c r="S42">
        <f>VLOOKUP($A42,'MF-225'!$A$2:$BV$53,S$1,FALSE)</f>
        <v>57676</v>
      </c>
      <c r="T42">
        <f>VLOOKUP($A42,'MF-225'!$A$2:$BV$53,T$1,FALSE)</f>
        <v>62590</v>
      </c>
      <c r="U42">
        <f>VLOOKUP($A42,'MF-225'!$A$2:$BV$53,U$1,FALSE)</f>
        <v>58718.675999999999</v>
      </c>
      <c r="V42">
        <f>VLOOKUP($A42,'MF-225'!$A$2:$BV$53,V$1,FALSE)</f>
        <v>56173.043000000005</v>
      </c>
      <c r="W42">
        <f>VLOOKUP($A42,'MF-225'!$A$2:$BV$53,W$1,FALSE)</f>
        <v>62574.516000000003</v>
      </c>
      <c r="X42">
        <f>VLOOKUP($A42,'MF-225'!$A$2:$BV$53,X$1,FALSE)</f>
        <v>61908.525000000001</v>
      </c>
      <c r="Y42">
        <f>VLOOKUP($A42,'MF-225'!$A$2:$BV$53,Y$1,FALSE)</f>
        <v>57533.460999999996</v>
      </c>
      <c r="Z42">
        <f>VLOOKUP($A42,'MF-225'!$A$2:$BV$53,Z$1,FALSE)</f>
        <v>59817</v>
      </c>
      <c r="AA42">
        <f>VLOOKUP($A42,'MF-225'!$A$2:$BV$53,AA$1,FALSE)</f>
        <v>73474</v>
      </c>
      <c r="AB42">
        <f>VLOOKUP($A42,'MF-225'!$A$2:$BV$53,AB$1,FALSE)</f>
        <v>67430</v>
      </c>
      <c r="AC42">
        <f>VLOOKUP($A42,'MF-225'!$A$2:$BV$53,AC$1,FALSE)</f>
        <v>54683</v>
      </c>
      <c r="AD42">
        <f>VLOOKUP($A42,'MF-225'!$A$2:$BV$53,AD$1,FALSE)</f>
        <v>63057</v>
      </c>
      <c r="AE42">
        <f>VLOOKUP($A42,'MF-225'!$A$2:$BV$53,AE$1,FALSE)</f>
        <v>64881</v>
      </c>
      <c r="AF42">
        <f>VLOOKUP($A42,'MF-225'!$A$2:$BV$53,AF$1,FALSE)</f>
        <v>70603</v>
      </c>
      <c r="AG42">
        <f>VLOOKUP($A42,'MF-225'!$A$2:$BV$53,AG$1,FALSE)</f>
        <v>62747</v>
      </c>
      <c r="AH42">
        <f>VLOOKUP($A42,'MF-225'!$A$2:$BV$53,AH$1,FALSE)</f>
        <v>76847</v>
      </c>
    </row>
    <row r="43" spans="1:34">
      <c r="A43" t="s">
        <v>37</v>
      </c>
      <c r="B43" t="str">
        <f>VLOOKUP(A43,'State Codes'!$C$10:$D$63,2,FALSE)</f>
        <v>SC</v>
      </c>
      <c r="C43">
        <f>VLOOKUP($A43,'MF-225'!$A$2:$BV$53,C$1,FALSE)</f>
        <v>422625</v>
      </c>
      <c r="D43">
        <f>VLOOKUP($A43,'MF-225'!$A$2:$BV$53,D$1,FALSE)</f>
        <v>352299</v>
      </c>
      <c r="E43">
        <f>VLOOKUP($A43,'MF-225'!$A$2:$BV$53,E$1,FALSE)</f>
        <v>388843</v>
      </c>
      <c r="F43">
        <f>VLOOKUP($A43,'MF-225'!$A$2:$BV$53,F$1,FALSE)</f>
        <v>410025</v>
      </c>
      <c r="G43">
        <f>VLOOKUP($A43,'MF-225'!$A$2:$BV$53,G$1,FALSE)</f>
        <v>524395</v>
      </c>
      <c r="H43">
        <f>VLOOKUP($A43,'MF-225'!$A$2:$BV$53,H$1,FALSE)</f>
        <v>463625</v>
      </c>
      <c r="I43">
        <f>VLOOKUP($A43,'MF-225'!$A$2:$BV$53,I$1,FALSE)</f>
        <v>461218</v>
      </c>
      <c r="J43">
        <f>VLOOKUP($A43,'MF-225'!$A$2:$BV$53,J$1,FALSE)</f>
        <v>487417</v>
      </c>
      <c r="K43">
        <f>VLOOKUP($A43,'MF-225'!$A$2:$BV$53,K$1,FALSE)</f>
        <v>566191</v>
      </c>
      <c r="L43">
        <f>VLOOKUP($A43,'MF-225'!$A$2:$BV$53,L$1,FALSE)</f>
        <v>594622</v>
      </c>
      <c r="M43">
        <f>VLOOKUP($A43,'MF-225'!$A$2:$BV$53,M$1,FALSE)</f>
        <v>620260</v>
      </c>
      <c r="N43">
        <f>VLOOKUP($A43,'MF-225'!$A$2:$BV$53,N$1,FALSE)</f>
        <v>620752</v>
      </c>
      <c r="O43">
        <f>VLOOKUP($A43,'MF-225'!$A$2:$BV$53,O$1,FALSE)</f>
        <v>622805</v>
      </c>
      <c r="P43">
        <f>VLOOKUP($A43,'MF-225'!$A$2:$BV$53,P$1,FALSE)</f>
        <v>630410</v>
      </c>
      <c r="Q43">
        <f>VLOOKUP($A43,'MF-225'!$A$2:$BV$53,Q$1,FALSE)</f>
        <v>710120</v>
      </c>
      <c r="R43">
        <f>VLOOKUP($A43,'MF-225'!$A$2:$BV$53,R$1,FALSE)</f>
        <v>696022</v>
      </c>
      <c r="S43">
        <f>VLOOKUP($A43,'MF-225'!$A$2:$BV$53,S$1,FALSE)</f>
        <v>707354</v>
      </c>
      <c r="T43">
        <f>VLOOKUP($A43,'MF-225'!$A$2:$BV$53,T$1,FALSE)</f>
        <v>729583</v>
      </c>
      <c r="U43">
        <f>VLOOKUP($A43,'MF-225'!$A$2:$BV$53,U$1,FALSE)</f>
        <v>677961.31499999994</v>
      </c>
      <c r="V43">
        <f>VLOOKUP($A43,'MF-225'!$A$2:$BV$53,V$1,FALSE)</f>
        <v>642771.66799999983</v>
      </c>
      <c r="W43">
        <f>VLOOKUP($A43,'MF-225'!$A$2:$BV$53,W$1,FALSE)</f>
        <v>661786.52</v>
      </c>
      <c r="X43">
        <f>VLOOKUP($A43,'MF-225'!$A$2:$BV$53,X$1,FALSE)</f>
        <v>727235.36600000004</v>
      </c>
      <c r="Y43">
        <f>VLOOKUP($A43,'MF-225'!$A$2:$BV$53,Y$1,FALSE)</f>
        <v>662552.86599999992</v>
      </c>
      <c r="Z43">
        <f>VLOOKUP($A43,'MF-225'!$A$2:$BV$53,Z$1,FALSE)</f>
        <v>768986</v>
      </c>
      <c r="AA43">
        <f>VLOOKUP($A43,'MF-225'!$A$2:$BV$53,AA$1,FALSE)</f>
        <v>683321</v>
      </c>
      <c r="AB43">
        <f>VLOOKUP($A43,'MF-225'!$A$2:$BV$53,AB$1,FALSE)</f>
        <v>761505.13</v>
      </c>
      <c r="AC43">
        <f>VLOOKUP($A43,'MF-225'!$A$2:$BV$53,AC$1,FALSE)</f>
        <v>844048</v>
      </c>
      <c r="AD43">
        <f>VLOOKUP($A43,'MF-225'!$A$2:$BV$53,AD$1,FALSE)</f>
        <v>851693</v>
      </c>
      <c r="AE43">
        <f>VLOOKUP($A43,'MF-225'!$A$2:$BV$53,AE$1,FALSE)</f>
        <v>837517</v>
      </c>
      <c r="AF43">
        <f>VLOOKUP($A43,'MF-225'!$A$2:$BV$53,AF$1,FALSE)</f>
        <v>882310</v>
      </c>
      <c r="AG43">
        <f>VLOOKUP($A43,'MF-225'!$A$2:$BV$53,AG$1,FALSE)</f>
        <v>850358</v>
      </c>
      <c r="AH43">
        <f>VLOOKUP($A43,'MF-225'!$A$2:$BV$53,AH$1,FALSE)</f>
        <v>934160</v>
      </c>
    </row>
    <row r="44" spans="1:34">
      <c r="A44" t="s">
        <v>38</v>
      </c>
      <c r="B44" t="str">
        <f>VLOOKUP(A44,'State Codes'!$C$10:$D$63,2,FALSE)</f>
        <v>SD</v>
      </c>
      <c r="C44">
        <f>VLOOKUP($A44,'MF-225'!$A$2:$BV$53,C$1,FALSE)</f>
        <v>100902</v>
      </c>
      <c r="D44">
        <f>VLOOKUP($A44,'MF-225'!$A$2:$BV$53,D$1,FALSE)</f>
        <v>102041</v>
      </c>
      <c r="E44">
        <f>VLOOKUP($A44,'MF-225'!$A$2:$BV$53,E$1,FALSE)</f>
        <v>106726</v>
      </c>
      <c r="F44">
        <f>VLOOKUP($A44,'MF-225'!$A$2:$BV$53,F$1,FALSE)</f>
        <v>114506</v>
      </c>
      <c r="G44">
        <f>VLOOKUP($A44,'MF-225'!$A$2:$BV$53,G$1,FALSE)</f>
        <v>137398</v>
      </c>
      <c r="H44">
        <f>VLOOKUP($A44,'MF-225'!$A$2:$BV$53,H$1,FALSE)</f>
        <v>137564</v>
      </c>
      <c r="I44">
        <f>VLOOKUP($A44,'MF-225'!$A$2:$BV$53,I$1,FALSE)</f>
        <v>143039</v>
      </c>
      <c r="J44">
        <f>VLOOKUP($A44,'MF-225'!$A$2:$BV$53,J$1,FALSE)</f>
        <v>141647</v>
      </c>
      <c r="K44">
        <f>VLOOKUP($A44,'MF-225'!$A$2:$BV$53,K$1,FALSE)</f>
        <v>142903</v>
      </c>
      <c r="L44">
        <f>VLOOKUP($A44,'MF-225'!$A$2:$BV$53,L$1,FALSE)</f>
        <v>146292</v>
      </c>
      <c r="M44">
        <f>VLOOKUP($A44,'MF-225'!$A$2:$BV$53,M$1,FALSE)</f>
        <v>147131</v>
      </c>
      <c r="N44">
        <f>VLOOKUP($A44,'MF-225'!$A$2:$BV$53,N$1,FALSE)</f>
        <v>149671</v>
      </c>
      <c r="O44">
        <f>VLOOKUP($A44,'MF-225'!$A$2:$BV$53,O$1,FALSE)</f>
        <v>158867</v>
      </c>
      <c r="P44">
        <f>VLOOKUP($A44,'MF-225'!$A$2:$BV$53,P$1,FALSE)</f>
        <v>166675</v>
      </c>
      <c r="Q44">
        <f>VLOOKUP($A44,'MF-225'!$A$2:$BV$53,Q$1,FALSE)</f>
        <v>176387</v>
      </c>
      <c r="R44">
        <f>VLOOKUP($A44,'MF-225'!$A$2:$BV$53,R$1,FALSE)</f>
        <v>186913</v>
      </c>
      <c r="S44">
        <f>VLOOKUP($A44,'MF-225'!$A$2:$BV$53,S$1,FALSE)</f>
        <v>191906</v>
      </c>
      <c r="T44">
        <f>VLOOKUP($A44,'MF-225'!$A$2:$BV$53,T$1,FALSE)</f>
        <v>211545</v>
      </c>
      <c r="U44">
        <f>VLOOKUP($A44,'MF-225'!$A$2:$BV$53,U$1,FALSE)</f>
        <v>205692.40900000004</v>
      </c>
      <c r="V44">
        <f>VLOOKUP($A44,'MF-225'!$A$2:$BV$53,V$1,FALSE)</f>
        <v>199605.51599999995</v>
      </c>
      <c r="W44">
        <f>VLOOKUP($A44,'MF-225'!$A$2:$BV$53,W$1,FALSE)</f>
        <v>208181.432</v>
      </c>
      <c r="X44">
        <f>VLOOKUP($A44,'MF-225'!$A$2:$BV$53,X$1,FALSE)</f>
        <v>208165.929</v>
      </c>
      <c r="Y44">
        <f>VLOOKUP($A44,'MF-225'!$A$2:$BV$53,Y$1,FALSE)</f>
        <v>228318.35</v>
      </c>
      <c r="Z44">
        <f>VLOOKUP($A44,'MF-225'!$A$2:$BV$53,Z$1,FALSE)</f>
        <v>218075</v>
      </c>
      <c r="AA44">
        <f>VLOOKUP($A44,'MF-225'!$A$2:$BV$53,AA$1,FALSE)</f>
        <v>230563</v>
      </c>
      <c r="AB44">
        <f>VLOOKUP($A44,'MF-225'!$A$2:$BV$53,AB$1,FALSE)</f>
        <v>231283</v>
      </c>
      <c r="AC44">
        <f>VLOOKUP($A44,'MF-225'!$A$2:$BV$53,AC$1,FALSE)</f>
        <v>231457</v>
      </c>
      <c r="AD44">
        <f>VLOOKUP($A44,'MF-225'!$A$2:$BV$53,AD$1,FALSE)</f>
        <v>237163</v>
      </c>
      <c r="AE44">
        <f>VLOOKUP($A44,'MF-225'!$A$2:$BV$53,AE$1,FALSE)</f>
        <v>237857</v>
      </c>
      <c r="AF44">
        <f>VLOOKUP($A44,'MF-225'!$A$2:$BV$53,AF$1,FALSE)</f>
        <v>240057</v>
      </c>
      <c r="AG44">
        <f>VLOOKUP($A44,'MF-225'!$A$2:$BV$53,AG$1,FALSE)</f>
        <v>250481</v>
      </c>
      <c r="AH44">
        <f>VLOOKUP($A44,'MF-225'!$A$2:$BV$53,AH$1,FALSE)</f>
        <v>262643</v>
      </c>
    </row>
    <row r="45" spans="1:34">
      <c r="A45" t="s">
        <v>39</v>
      </c>
      <c r="B45" t="str">
        <f>VLOOKUP(A45,'State Codes'!$C$10:$D$63,2,FALSE)</f>
        <v>TN</v>
      </c>
      <c r="C45">
        <f>VLOOKUP($A45,'MF-225'!$A$2:$BV$53,C$1,FALSE)</f>
        <v>607875</v>
      </c>
      <c r="D45">
        <f>VLOOKUP($A45,'MF-225'!$A$2:$BV$53,D$1,FALSE)</f>
        <v>577968</v>
      </c>
      <c r="E45">
        <f>VLOOKUP($A45,'MF-225'!$A$2:$BV$53,E$1,FALSE)</f>
        <v>599877</v>
      </c>
      <c r="F45">
        <f>VLOOKUP($A45,'MF-225'!$A$2:$BV$53,F$1,FALSE)</f>
        <v>648223</v>
      </c>
      <c r="G45">
        <f>VLOOKUP($A45,'MF-225'!$A$2:$BV$53,G$1,FALSE)</f>
        <v>678423</v>
      </c>
      <c r="H45">
        <f>VLOOKUP($A45,'MF-225'!$A$2:$BV$53,H$1,FALSE)</f>
        <v>730080</v>
      </c>
      <c r="I45">
        <f>VLOOKUP($A45,'MF-225'!$A$2:$BV$53,I$1,FALSE)</f>
        <v>755828</v>
      </c>
      <c r="J45">
        <f>VLOOKUP($A45,'MF-225'!$A$2:$BV$53,J$1,FALSE)</f>
        <v>778068</v>
      </c>
      <c r="K45">
        <f>VLOOKUP($A45,'MF-225'!$A$2:$BV$53,K$1,FALSE)</f>
        <v>822845</v>
      </c>
      <c r="L45">
        <f>VLOOKUP($A45,'MF-225'!$A$2:$BV$53,L$1,FALSE)</f>
        <v>861463</v>
      </c>
      <c r="M45">
        <f>VLOOKUP($A45,'MF-225'!$A$2:$BV$53,M$1,FALSE)</f>
        <v>890704</v>
      </c>
      <c r="N45">
        <f>VLOOKUP($A45,'MF-225'!$A$2:$BV$53,N$1,FALSE)</f>
        <v>868540</v>
      </c>
      <c r="O45">
        <f>VLOOKUP($A45,'MF-225'!$A$2:$BV$53,O$1,FALSE)</f>
        <v>904786</v>
      </c>
      <c r="P45">
        <f>VLOOKUP($A45,'MF-225'!$A$2:$BV$53,P$1,FALSE)</f>
        <v>967835</v>
      </c>
      <c r="Q45">
        <f>VLOOKUP($A45,'MF-225'!$A$2:$BV$53,Q$1,FALSE)</f>
        <v>991476</v>
      </c>
      <c r="R45">
        <f>VLOOKUP($A45,'MF-225'!$A$2:$BV$53,R$1,FALSE)</f>
        <v>1053439</v>
      </c>
      <c r="S45">
        <f>VLOOKUP($A45,'MF-225'!$A$2:$BV$53,S$1,FALSE)</f>
        <v>1040979</v>
      </c>
      <c r="T45">
        <f>VLOOKUP($A45,'MF-225'!$A$2:$BV$53,T$1,FALSE)</f>
        <v>1062419</v>
      </c>
      <c r="U45">
        <f>VLOOKUP($A45,'MF-225'!$A$2:$BV$53,U$1,FALSE)</f>
        <v>1002931.107</v>
      </c>
      <c r="V45">
        <f>VLOOKUP($A45,'MF-225'!$A$2:$BV$53,V$1,FALSE)</f>
        <v>826562.32900000014</v>
      </c>
      <c r="W45">
        <f>VLOOKUP($A45,'MF-225'!$A$2:$BV$53,W$1,FALSE)</f>
        <v>892254.26099999994</v>
      </c>
      <c r="X45">
        <f>VLOOKUP($A45,'MF-225'!$A$2:$BV$53,X$1,FALSE)</f>
        <v>895239.8</v>
      </c>
      <c r="Y45">
        <f>VLOOKUP($A45,'MF-225'!$A$2:$BV$53,Y$1,FALSE)</f>
        <v>882947.12300000002</v>
      </c>
      <c r="Z45">
        <f>VLOOKUP($A45,'MF-225'!$A$2:$BV$53,Z$1,FALSE)</f>
        <v>885570</v>
      </c>
      <c r="AA45">
        <f>VLOOKUP($A45,'MF-225'!$A$2:$BV$53,AA$1,FALSE)</f>
        <v>929240</v>
      </c>
      <c r="AB45">
        <f>VLOOKUP($A45,'MF-225'!$A$2:$BV$53,AB$1,FALSE)</f>
        <v>979997</v>
      </c>
      <c r="AC45">
        <f>VLOOKUP($A45,'MF-225'!$A$2:$BV$53,AC$1,FALSE)</f>
        <v>969256</v>
      </c>
      <c r="AD45">
        <f>VLOOKUP($A45,'MF-225'!$A$2:$BV$53,AD$1,FALSE)</f>
        <v>993626</v>
      </c>
      <c r="AE45">
        <f>VLOOKUP($A45,'MF-225'!$A$2:$BV$53,AE$1,FALSE)</f>
        <v>1032616</v>
      </c>
      <c r="AF45">
        <f>VLOOKUP($A45,'MF-225'!$A$2:$BV$53,AF$1,FALSE)</f>
        <v>1130885</v>
      </c>
      <c r="AG45">
        <f>VLOOKUP($A45,'MF-225'!$A$2:$BV$53,AG$1,FALSE)</f>
        <v>1056371</v>
      </c>
      <c r="AH45">
        <f>VLOOKUP($A45,'MF-225'!$A$2:$BV$53,AH$1,FALSE)</f>
        <v>1152489</v>
      </c>
    </row>
    <row r="46" spans="1:34">
      <c r="A46" t="s">
        <v>40</v>
      </c>
      <c r="B46" t="str">
        <f>VLOOKUP(A46,'State Codes'!$C$10:$D$63,2,FALSE)</f>
        <v>TX</v>
      </c>
      <c r="C46">
        <f>VLOOKUP($A46,'MF-225'!$A$2:$BV$53,C$1,FALSE)</f>
        <v>1426255</v>
      </c>
      <c r="D46">
        <f>VLOOKUP($A46,'MF-225'!$A$2:$BV$53,D$1,FALSE)</f>
        <v>1572102</v>
      </c>
      <c r="E46">
        <f>VLOOKUP($A46,'MF-225'!$A$2:$BV$53,E$1,FALSE)</f>
        <v>1634543</v>
      </c>
      <c r="F46">
        <f>VLOOKUP($A46,'MF-225'!$A$2:$BV$53,F$1,FALSE)</f>
        <v>1705512</v>
      </c>
      <c r="G46">
        <f>VLOOKUP($A46,'MF-225'!$A$2:$BV$53,G$1,FALSE)</f>
        <v>1941324</v>
      </c>
      <c r="H46">
        <f>VLOOKUP($A46,'MF-225'!$A$2:$BV$53,H$1,FALSE)</f>
        <v>1966615</v>
      </c>
      <c r="I46">
        <f>VLOOKUP($A46,'MF-225'!$A$2:$BV$53,I$1,FALSE)</f>
        <v>2167149</v>
      </c>
      <c r="J46">
        <f>VLOOKUP($A46,'MF-225'!$A$2:$BV$53,J$1,FALSE)</f>
        <v>2273633</v>
      </c>
      <c r="K46">
        <f>VLOOKUP($A46,'MF-225'!$A$2:$BV$53,K$1,FALSE)</f>
        <v>2456309</v>
      </c>
      <c r="L46">
        <f>VLOOKUP($A46,'MF-225'!$A$2:$BV$53,L$1,FALSE)</f>
        <v>2579169</v>
      </c>
      <c r="M46">
        <f>VLOOKUP($A46,'MF-225'!$A$2:$BV$53,M$1,FALSE)</f>
        <v>2824792</v>
      </c>
      <c r="N46">
        <f>VLOOKUP($A46,'MF-225'!$A$2:$BV$53,N$1,FALSE)</f>
        <v>2990263</v>
      </c>
      <c r="O46">
        <f>VLOOKUP($A46,'MF-225'!$A$2:$BV$53,O$1,FALSE)</f>
        <v>3125264</v>
      </c>
      <c r="P46">
        <f>VLOOKUP($A46,'MF-225'!$A$2:$BV$53,P$1,FALSE)</f>
        <v>3323109</v>
      </c>
      <c r="Q46">
        <f>VLOOKUP($A46,'MF-225'!$A$2:$BV$53,Q$1,FALSE)</f>
        <v>3479579</v>
      </c>
      <c r="R46">
        <f>VLOOKUP($A46,'MF-225'!$A$2:$BV$53,R$1,FALSE)</f>
        <v>3673568</v>
      </c>
      <c r="S46">
        <f>VLOOKUP($A46,'MF-225'!$A$2:$BV$53,S$1,FALSE)</f>
        <v>4053917</v>
      </c>
      <c r="T46">
        <f>VLOOKUP($A46,'MF-225'!$A$2:$BV$53,T$1,FALSE)</f>
        <v>4313359</v>
      </c>
      <c r="U46">
        <f>VLOOKUP($A46,'MF-225'!$A$2:$BV$53,U$1,FALSE)</f>
        <v>4327429.9419999998</v>
      </c>
      <c r="V46">
        <f>VLOOKUP($A46,'MF-225'!$A$2:$BV$53,V$1,FALSE)</f>
        <v>3744339.3589999992</v>
      </c>
      <c r="W46">
        <f>VLOOKUP($A46,'MF-225'!$A$2:$BV$53,W$1,FALSE)</f>
        <v>3926485.8870000001</v>
      </c>
      <c r="X46">
        <f>VLOOKUP($A46,'MF-225'!$A$2:$BV$53,X$1,FALSE)</f>
        <v>4208400.193</v>
      </c>
      <c r="Y46">
        <f>VLOOKUP($A46,'MF-225'!$A$2:$BV$53,Y$1,FALSE)</f>
        <v>4437816.8679999998</v>
      </c>
      <c r="Z46">
        <f>VLOOKUP($A46,'MF-225'!$A$2:$BV$53,Z$1,FALSE)</f>
        <v>4741110</v>
      </c>
      <c r="AA46">
        <f>VLOOKUP($A46,'MF-225'!$A$2:$BV$53,AA$1,FALSE)</f>
        <v>5295548</v>
      </c>
      <c r="AB46">
        <f>VLOOKUP($A46,'MF-225'!$A$2:$BV$53,AB$1,FALSE)</f>
        <v>5214849</v>
      </c>
      <c r="AC46">
        <f>VLOOKUP($A46,'MF-225'!$A$2:$BV$53,AC$1,FALSE)</f>
        <v>5329829</v>
      </c>
      <c r="AD46">
        <f>VLOOKUP($A46,'MF-225'!$A$2:$BV$53,AD$1,FALSE)</f>
        <v>5588720</v>
      </c>
      <c r="AE46">
        <f>VLOOKUP($A46,'MF-225'!$A$2:$BV$53,AE$1,FALSE)</f>
        <v>5854781</v>
      </c>
      <c r="AF46">
        <f>VLOOKUP($A46,'MF-225'!$A$2:$BV$53,AF$1,FALSE)</f>
        <v>5982285</v>
      </c>
      <c r="AG46">
        <f>VLOOKUP($A46,'MF-225'!$A$2:$BV$53,AG$1,FALSE)</f>
        <v>5411859</v>
      </c>
      <c r="AH46">
        <f>VLOOKUP($A46,'MF-225'!$A$2:$BV$53,AH$1,FALSE)</f>
        <v>5958479</v>
      </c>
    </row>
    <row r="47" spans="1:34">
      <c r="A47" t="s">
        <v>41</v>
      </c>
      <c r="B47" t="str">
        <f>VLOOKUP(A47,'State Codes'!$C$10:$D$63,2,FALSE)</f>
        <v>UT</v>
      </c>
      <c r="C47">
        <f>VLOOKUP($A47,'MF-225'!$A$2:$BV$53,C$1,FALSE)</f>
        <v>180927</v>
      </c>
      <c r="D47">
        <f>VLOOKUP($A47,'MF-225'!$A$2:$BV$53,D$1,FALSE)</f>
        <v>172201</v>
      </c>
      <c r="E47">
        <f>VLOOKUP($A47,'MF-225'!$A$2:$BV$53,E$1,FALSE)</f>
        <v>181825</v>
      </c>
      <c r="F47">
        <f>VLOOKUP($A47,'MF-225'!$A$2:$BV$53,F$1,FALSE)</f>
        <v>191093</v>
      </c>
      <c r="G47">
        <f>VLOOKUP($A47,'MF-225'!$A$2:$BV$53,G$1,FALSE)</f>
        <v>211373</v>
      </c>
      <c r="H47">
        <f>VLOOKUP($A47,'MF-225'!$A$2:$BV$53,H$1,FALSE)</f>
        <v>260059</v>
      </c>
      <c r="I47">
        <f>VLOOKUP($A47,'MF-225'!$A$2:$BV$53,I$1,FALSE)</f>
        <v>256810</v>
      </c>
      <c r="J47">
        <f>VLOOKUP($A47,'MF-225'!$A$2:$BV$53,J$1,FALSE)</f>
        <v>295045</v>
      </c>
      <c r="K47">
        <f>VLOOKUP($A47,'MF-225'!$A$2:$BV$53,K$1,FALSE)</f>
        <v>305162</v>
      </c>
      <c r="L47">
        <f>VLOOKUP($A47,'MF-225'!$A$2:$BV$53,L$1,FALSE)</f>
        <v>301493</v>
      </c>
      <c r="M47">
        <f>VLOOKUP($A47,'MF-225'!$A$2:$BV$53,M$1,FALSE)</f>
        <v>338576</v>
      </c>
      <c r="N47">
        <f>VLOOKUP($A47,'MF-225'!$A$2:$BV$53,N$1,FALSE)</f>
        <v>337898</v>
      </c>
      <c r="O47">
        <f>VLOOKUP($A47,'MF-225'!$A$2:$BV$53,O$1,FALSE)</f>
        <v>354812</v>
      </c>
      <c r="P47">
        <f>VLOOKUP($A47,'MF-225'!$A$2:$BV$53,P$1,FALSE)</f>
        <v>352288</v>
      </c>
      <c r="Q47">
        <f>VLOOKUP($A47,'MF-225'!$A$2:$BV$53,Q$1,FALSE)</f>
        <v>367644</v>
      </c>
      <c r="R47">
        <f>VLOOKUP($A47,'MF-225'!$A$2:$BV$53,R$1,FALSE)</f>
        <v>393790</v>
      </c>
      <c r="S47">
        <f>VLOOKUP($A47,'MF-225'!$A$2:$BV$53,S$1,FALSE)</f>
        <v>503317</v>
      </c>
      <c r="T47">
        <f>VLOOKUP($A47,'MF-225'!$A$2:$BV$53,T$1,FALSE)</f>
        <v>492839</v>
      </c>
      <c r="U47">
        <f>VLOOKUP($A47,'MF-225'!$A$2:$BV$53,U$1,FALSE)</f>
        <v>452787.66700000002</v>
      </c>
      <c r="V47">
        <f>VLOOKUP($A47,'MF-225'!$A$2:$BV$53,V$1,FALSE)</f>
        <v>410539.29699999996</v>
      </c>
      <c r="W47">
        <f>VLOOKUP($A47,'MF-225'!$A$2:$BV$53,W$1,FALSE)</f>
        <v>412611.69299999997</v>
      </c>
      <c r="X47">
        <f>VLOOKUP($A47,'MF-225'!$A$2:$BV$53,X$1,FALSE)</f>
        <v>485580.00100000005</v>
      </c>
      <c r="Y47">
        <f>VLOOKUP($A47,'MF-225'!$A$2:$BV$53,Y$1,FALSE)</f>
        <v>474412.603</v>
      </c>
      <c r="Z47">
        <f>VLOOKUP($A47,'MF-225'!$A$2:$BV$53,Z$1,FALSE)</f>
        <v>478575</v>
      </c>
      <c r="AA47">
        <f>VLOOKUP($A47,'MF-225'!$A$2:$BV$53,AA$1,FALSE)</f>
        <v>455006</v>
      </c>
      <c r="AB47">
        <f>VLOOKUP($A47,'MF-225'!$A$2:$BV$53,AB$1,FALSE)</f>
        <v>466299</v>
      </c>
      <c r="AC47">
        <f>VLOOKUP($A47,'MF-225'!$A$2:$BV$53,AC$1,FALSE)</f>
        <v>474173</v>
      </c>
      <c r="AD47">
        <f>VLOOKUP($A47,'MF-225'!$A$2:$BV$53,AD$1,FALSE)</f>
        <v>500418</v>
      </c>
      <c r="AE47">
        <f>VLOOKUP($A47,'MF-225'!$A$2:$BV$53,AE$1,FALSE)</f>
        <v>491761</v>
      </c>
      <c r="AF47">
        <f>VLOOKUP($A47,'MF-225'!$A$2:$BV$53,AF$1,FALSE)</f>
        <v>483312</v>
      </c>
      <c r="AG47">
        <f>VLOOKUP($A47,'MF-225'!$A$2:$BV$53,AG$1,FALSE)</f>
        <v>529191</v>
      </c>
      <c r="AH47">
        <f>VLOOKUP($A47,'MF-225'!$A$2:$BV$53,AH$1,FALSE)</f>
        <v>533416</v>
      </c>
    </row>
    <row r="48" spans="1:34">
      <c r="A48" t="s">
        <v>42</v>
      </c>
      <c r="B48" t="str">
        <f>VLOOKUP(A48,'State Codes'!$C$10:$D$63,2,FALSE)</f>
        <v>VT</v>
      </c>
      <c r="C48">
        <f>VLOOKUP($A48,'MF-225'!$A$2:$BV$53,C$1,FALSE)</f>
        <v>41851</v>
      </c>
      <c r="D48">
        <f>VLOOKUP($A48,'MF-225'!$A$2:$BV$53,D$1,FALSE)</f>
        <v>47822</v>
      </c>
      <c r="E48">
        <f>VLOOKUP($A48,'MF-225'!$A$2:$BV$53,E$1,FALSE)</f>
        <v>59821</v>
      </c>
      <c r="F48">
        <f>VLOOKUP($A48,'MF-225'!$A$2:$BV$53,F$1,FALSE)</f>
        <v>70570</v>
      </c>
      <c r="G48">
        <f>VLOOKUP($A48,'MF-225'!$A$2:$BV$53,G$1,FALSE)</f>
        <v>73961</v>
      </c>
      <c r="H48">
        <f>VLOOKUP($A48,'MF-225'!$A$2:$BV$53,H$1,FALSE)</f>
        <v>86840</v>
      </c>
      <c r="I48">
        <f>VLOOKUP($A48,'MF-225'!$A$2:$BV$53,I$1,FALSE)</f>
        <v>96108</v>
      </c>
      <c r="J48">
        <f>VLOOKUP($A48,'MF-225'!$A$2:$BV$53,J$1,FALSE)</f>
        <v>77861</v>
      </c>
      <c r="K48">
        <f>VLOOKUP($A48,'MF-225'!$A$2:$BV$53,K$1,FALSE)</f>
        <v>77033</v>
      </c>
      <c r="L48">
        <f>VLOOKUP($A48,'MF-225'!$A$2:$BV$53,L$1,FALSE)</f>
        <v>58101</v>
      </c>
      <c r="M48">
        <f>VLOOKUP($A48,'MF-225'!$A$2:$BV$53,M$1,FALSE)</f>
        <v>53153</v>
      </c>
      <c r="N48">
        <f>VLOOKUP($A48,'MF-225'!$A$2:$BV$53,N$1,FALSE)</f>
        <v>70375</v>
      </c>
      <c r="O48">
        <f>VLOOKUP($A48,'MF-225'!$A$2:$BV$53,O$1,FALSE)</f>
        <v>64429</v>
      </c>
      <c r="P48">
        <f>VLOOKUP($A48,'MF-225'!$A$2:$BV$53,P$1,FALSE)</f>
        <v>67057</v>
      </c>
      <c r="Q48">
        <f>VLOOKUP($A48,'MF-225'!$A$2:$BV$53,Q$1,FALSE)</f>
        <v>62222</v>
      </c>
      <c r="R48">
        <f>VLOOKUP($A48,'MF-225'!$A$2:$BV$53,R$1,FALSE)</f>
        <v>62935</v>
      </c>
      <c r="S48">
        <f>VLOOKUP($A48,'MF-225'!$A$2:$BV$53,S$1,FALSE)</f>
        <v>66400</v>
      </c>
      <c r="T48">
        <f>VLOOKUP($A48,'MF-225'!$A$2:$BV$53,T$1,FALSE)</f>
        <v>65828</v>
      </c>
      <c r="U48">
        <f>VLOOKUP($A48,'MF-225'!$A$2:$BV$53,U$1,FALSE)</f>
        <v>61074.569000000003</v>
      </c>
      <c r="V48">
        <f>VLOOKUP($A48,'MF-225'!$A$2:$BV$53,V$1,FALSE)</f>
        <v>54378.426999999989</v>
      </c>
      <c r="W48">
        <f>VLOOKUP($A48,'MF-225'!$A$2:$BV$53,W$1,FALSE)</f>
        <v>59163.609000000011</v>
      </c>
      <c r="X48">
        <f>VLOOKUP($A48,'MF-225'!$A$2:$BV$53,X$1,FALSE)</f>
        <v>58773.805999999997</v>
      </c>
      <c r="Y48">
        <f>VLOOKUP($A48,'MF-225'!$A$2:$BV$53,Y$1,FALSE)</f>
        <v>59989.771000000008</v>
      </c>
      <c r="Z48">
        <f>VLOOKUP($A48,'MF-225'!$A$2:$BV$53,Z$1,FALSE)</f>
        <v>59999</v>
      </c>
      <c r="AA48">
        <f>VLOOKUP($A48,'MF-225'!$A$2:$BV$53,AA$1,FALSE)</f>
        <v>58354</v>
      </c>
      <c r="AB48">
        <f>VLOOKUP($A48,'MF-225'!$A$2:$BV$53,AB$1,FALSE)</f>
        <v>66110</v>
      </c>
      <c r="AC48">
        <f>VLOOKUP($A48,'MF-225'!$A$2:$BV$53,AC$1,FALSE)</f>
        <v>71834</v>
      </c>
      <c r="AD48">
        <f>VLOOKUP($A48,'MF-225'!$A$2:$BV$53,AD$1,FALSE)</f>
        <v>71457</v>
      </c>
      <c r="AE48">
        <f>VLOOKUP($A48,'MF-225'!$A$2:$BV$53,AE$1,FALSE)</f>
        <v>72796</v>
      </c>
      <c r="AF48">
        <f>VLOOKUP($A48,'MF-225'!$A$2:$BV$53,AF$1,FALSE)</f>
        <v>71598</v>
      </c>
      <c r="AG48">
        <f>VLOOKUP($A48,'MF-225'!$A$2:$BV$53,AG$1,FALSE)</f>
        <v>64128</v>
      </c>
      <c r="AH48">
        <f>VLOOKUP($A48,'MF-225'!$A$2:$BV$53,AH$1,FALSE)</f>
        <v>63560</v>
      </c>
    </row>
    <row r="49" spans="1:34">
      <c r="A49" t="s">
        <v>43</v>
      </c>
      <c r="B49" t="str">
        <f>VLOOKUP(A49,'State Codes'!$C$10:$D$63,2,FALSE)</f>
        <v>VA</v>
      </c>
      <c r="C49">
        <f>VLOOKUP($A49,'MF-225'!$A$2:$BV$53,C$1,FALSE)</f>
        <v>546921</v>
      </c>
      <c r="D49">
        <f>VLOOKUP($A49,'MF-225'!$A$2:$BV$53,D$1,FALSE)</f>
        <v>553794</v>
      </c>
      <c r="E49">
        <f>VLOOKUP($A49,'MF-225'!$A$2:$BV$53,E$1,FALSE)</f>
        <v>592653</v>
      </c>
      <c r="F49">
        <f>VLOOKUP($A49,'MF-225'!$A$2:$BV$53,F$1,FALSE)</f>
        <v>629573</v>
      </c>
      <c r="G49">
        <f>VLOOKUP($A49,'MF-225'!$A$2:$BV$53,G$1,FALSE)</f>
        <v>682156</v>
      </c>
      <c r="H49">
        <f>VLOOKUP($A49,'MF-225'!$A$2:$BV$53,H$1,FALSE)</f>
        <v>690946</v>
      </c>
      <c r="I49">
        <f>VLOOKUP($A49,'MF-225'!$A$2:$BV$53,I$1,FALSE)</f>
        <v>760663</v>
      </c>
      <c r="J49">
        <f>VLOOKUP($A49,'MF-225'!$A$2:$BV$53,J$1,FALSE)</f>
        <v>836583</v>
      </c>
      <c r="K49">
        <f>VLOOKUP($A49,'MF-225'!$A$2:$BV$53,K$1,FALSE)</f>
        <v>898041</v>
      </c>
      <c r="L49">
        <f>VLOOKUP($A49,'MF-225'!$A$2:$BV$53,L$1,FALSE)</f>
        <v>955500</v>
      </c>
      <c r="M49">
        <f>VLOOKUP($A49,'MF-225'!$A$2:$BV$53,M$1,FALSE)</f>
        <v>995582</v>
      </c>
      <c r="N49">
        <f>VLOOKUP($A49,'MF-225'!$A$2:$BV$53,N$1,FALSE)</f>
        <v>939508</v>
      </c>
      <c r="O49">
        <f>VLOOKUP($A49,'MF-225'!$A$2:$BV$53,O$1,FALSE)</f>
        <v>936201</v>
      </c>
      <c r="P49">
        <f>VLOOKUP($A49,'MF-225'!$A$2:$BV$53,P$1,FALSE)</f>
        <v>1017912</v>
      </c>
      <c r="Q49">
        <f>VLOOKUP($A49,'MF-225'!$A$2:$BV$53,Q$1,FALSE)</f>
        <v>1117189</v>
      </c>
      <c r="R49">
        <f>VLOOKUP($A49,'MF-225'!$A$2:$BV$53,R$1,FALSE)</f>
        <v>1093680</v>
      </c>
      <c r="S49">
        <f>VLOOKUP($A49,'MF-225'!$A$2:$BV$53,S$1,FALSE)</f>
        <v>1104316</v>
      </c>
      <c r="T49">
        <f>VLOOKUP($A49,'MF-225'!$A$2:$BV$53,T$1,FALSE)</f>
        <v>1131864</v>
      </c>
      <c r="U49">
        <f>VLOOKUP($A49,'MF-225'!$A$2:$BV$53,U$1,FALSE)</f>
        <v>1037504.2200000001</v>
      </c>
      <c r="V49">
        <f>VLOOKUP($A49,'MF-225'!$A$2:$BV$53,V$1,FALSE)</f>
        <v>959891.11600000004</v>
      </c>
      <c r="W49">
        <f>VLOOKUP($A49,'MF-225'!$A$2:$BV$53,W$1,FALSE)</f>
        <v>1001112.345</v>
      </c>
      <c r="X49">
        <f>VLOOKUP($A49,'MF-225'!$A$2:$BV$53,X$1,FALSE)</f>
        <v>946661.41099999996</v>
      </c>
      <c r="Y49">
        <f>VLOOKUP($A49,'MF-225'!$A$2:$BV$53,Y$1,FALSE)</f>
        <v>1003684.48</v>
      </c>
      <c r="Z49">
        <f>VLOOKUP($A49,'MF-225'!$A$2:$BV$53,Z$1,FALSE)</f>
        <v>1004678</v>
      </c>
      <c r="AA49">
        <f>VLOOKUP($A49,'MF-225'!$A$2:$BV$53,AA$1,FALSE)</f>
        <v>1015403</v>
      </c>
      <c r="AB49">
        <f>VLOOKUP($A49,'MF-225'!$A$2:$BV$53,AB$1,FALSE)</f>
        <v>1012511</v>
      </c>
      <c r="AC49">
        <f>VLOOKUP($A49,'MF-225'!$A$2:$BV$53,AC$1,FALSE)</f>
        <v>1043522</v>
      </c>
      <c r="AD49">
        <f>VLOOKUP($A49,'MF-225'!$A$2:$BV$53,AD$1,FALSE)</f>
        <v>1050072</v>
      </c>
      <c r="AE49">
        <f>VLOOKUP($A49,'MF-225'!$A$2:$BV$53,AE$1,FALSE)</f>
        <v>1043447</v>
      </c>
      <c r="AF49">
        <f>VLOOKUP($A49,'MF-225'!$A$2:$BV$53,AF$1,FALSE)</f>
        <v>1043447</v>
      </c>
      <c r="AG49">
        <f>VLOOKUP($A49,'MF-225'!$A$2:$BV$53,AG$1,FALSE)</f>
        <v>1132225</v>
      </c>
      <c r="AH49">
        <f>VLOOKUP($A49,'MF-225'!$A$2:$BV$53,AH$1,FALSE)</f>
        <v>1189305</v>
      </c>
    </row>
    <row r="50" spans="1:34">
      <c r="A50" t="s">
        <v>44</v>
      </c>
      <c r="B50" t="str">
        <f>VLOOKUP(A50,'State Codes'!$C$10:$D$63,2,FALSE)</f>
        <v>WA</v>
      </c>
      <c r="C50">
        <f>VLOOKUP($A50,'MF-225'!$A$2:$BV$53,C$1,FALSE)</f>
        <v>363028</v>
      </c>
      <c r="D50">
        <f>VLOOKUP($A50,'MF-225'!$A$2:$BV$53,D$1,FALSE)</f>
        <v>361775</v>
      </c>
      <c r="E50">
        <f>VLOOKUP($A50,'MF-225'!$A$2:$BV$53,E$1,FALSE)</f>
        <v>385237</v>
      </c>
      <c r="F50">
        <f>VLOOKUP($A50,'MF-225'!$A$2:$BV$53,F$1,FALSE)</f>
        <v>352731</v>
      </c>
      <c r="G50">
        <f>VLOOKUP($A50,'MF-225'!$A$2:$BV$53,G$1,FALSE)</f>
        <v>465280</v>
      </c>
      <c r="H50">
        <f>VLOOKUP($A50,'MF-225'!$A$2:$BV$53,H$1,FALSE)</f>
        <v>466779</v>
      </c>
      <c r="I50">
        <f>VLOOKUP($A50,'MF-225'!$A$2:$BV$53,I$1,FALSE)</f>
        <v>482289</v>
      </c>
      <c r="J50">
        <f>VLOOKUP($A50,'MF-225'!$A$2:$BV$53,J$1,FALSE)</f>
        <v>469389</v>
      </c>
      <c r="K50">
        <f>VLOOKUP($A50,'MF-225'!$A$2:$BV$53,K$1,FALSE)</f>
        <v>431973</v>
      </c>
      <c r="L50">
        <f>VLOOKUP($A50,'MF-225'!$A$2:$BV$53,L$1,FALSE)</f>
        <v>571177</v>
      </c>
      <c r="M50">
        <f>VLOOKUP($A50,'MF-225'!$A$2:$BV$53,M$1,FALSE)</f>
        <v>565695</v>
      </c>
      <c r="N50">
        <f>VLOOKUP($A50,'MF-225'!$A$2:$BV$53,N$1,FALSE)</f>
        <v>545133</v>
      </c>
      <c r="O50">
        <f>VLOOKUP($A50,'MF-225'!$A$2:$BV$53,O$1,FALSE)</f>
        <v>572271</v>
      </c>
      <c r="P50">
        <f>VLOOKUP($A50,'MF-225'!$A$2:$BV$53,P$1,FALSE)</f>
        <v>583824</v>
      </c>
      <c r="Q50">
        <f>VLOOKUP($A50,'MF-225'!$A$2:$BV$53,Q$1,FALSE)</f>
        <v>628696</v>
      </c>
      <c r="R50">
        <f>VLOOKUP($A50,'MF-225'!$A$2:$BV$53,R$1,FALSE)</f>
        <v>637457</v>
      </c>
      <c r="S50">
        <f>VLOOKUP($A50,'MF-225'!$A$2:$BV$53,S$1,FALSE)</f>
        <v>704820</v>
      </c>
      <c r="T50">
        <f>VLOOKUP($A50,'MF-225'!$A$2:$BV$53,T$1,FALSE)</f>
        <v>712423</v>
      </c>
      <c r="U50">
        <f>VLOOKUP($A50,'MF-225'!$A$2:$BV$53,U$1,FALSE)</f>
        <v>661408.7209999999</v>
      </c>
      <c r="V50">
        <f>VLOOKUP($A50,'MF-225'!$A$2:$BV$53,V$1,FALSE)</f>
        <v>600804.36600000004</v>
      </c>
      <c r="W50">
        <f>VLOOKUP($A50,'MF-225'!$A$2:$BV$53,W$1,FALSE)</f>
        <v>629631</v>
      </c>
      <c r="X50">
        <f>VLOOKUP($A50,'MF-225'!$A$2:$BV$53,X$1,FALSE)</f>
        <v>619106.1050000001</v>
      </c>
      <c r="Y50">
        <f>VLOOKUP($A50,'MF-225'!$A$2:$BV$53,Y$1,FALSE)</f>
        <v>615876.13100000005</v>
      </c>
      <c r="Z50">
        <f>VLOOKUP($A50,'MF-225'!$A$2:$BV$53,Z$1,FALSE)</f>
        <v>656084</v>
      </c>
      <c r="AA50">
        <f>VLOOKUP($A50,'MF-225'!$A$2:$BV$53,AA$1,FALSE)</f>
        <v>664882</v>
      </c>
      <c r="AB50">
        <f>VLOOKUP($A50,'MF-225'!$A$2:$BV$53,AB$1,FALSE)</f>
        <v>683440</v>
      </c>
      <c r="AC50">
        <f>VLOOKUP($A50,'MF-225'!$A$2:$BV$53,AC$1,FALSE)</f>
        <v>682035</v>
      </c>
      <c r="AD50">
        <f>VLOOKUP($A50,'MF-225'!$A$2:$BV$53,AD$1,FALSE)</f>
        <v>714987</v>
      </c>
      <c r="AE50">
        <f>VLOOKUP($A50,'MF-225'!$A$2:$BV$53,AE$1,FALSE)</f>
        <v>739029</v>
      </c>
      <c r="AF50">
        <f>VLOOKUP($A50,'MF-225'!$A$2:$BV$53,AF$1,FALSE)</f>
        <v>736027</v>
      </c>
      <c r="AG50">
        <f>VLOOKUP($A50,'MF-225'!$A$2:$BV$53,AG$1,FALSE)</f>
        <v>696640</v>
      </c>
      <c r="AH50">
        <f>VLOOKUP($A50,'MF-225'!$A$2:$BV$53,AH$1,FALSE)</f>
        <v>758687</v>
      </c>
    </row>
    <row r="51" spans="1:34">
      <c r="A51" t="s">
        <v>45</v>
      </c>
      <c r="B51" t="str">
        <f>VLOOKUP(A51,'State Codes'!$C$10:$D$63,2,FALSE)</f>
        <v>WV</v>
      </c>
      <c r="C51">
        <f>VLOOKUP($A51,'MF-225'!$A$2:$BV$53,C$1,FALSE)</f>
        <v>192826</v>
      </c>
      <c r="D51">
        <f>VLOOKUP($A51,'MF-225'!$A$2:$BV$53,D$1,FALSE)</f>
        <v>176447</v>
      </c>
      <c r="E51">
        <f>VLOOKUP($A51,'MF-225'!$A$2:$BV$53,E$1,FALSE)</f>
        <v>198771</v>
      </c>
      <c r="F51">
        <f>VLOOKUP($A51,'MF-225'!$A$2:$BV$53,F$1,FALSE)</f>
        <v>212624</v>
      </c>
      <c r="G51">
        <f>VLOOKUP($A51,'MF-225'!$A$2:$BV$53,G$1,FALSE)</f>
        <v>212587</v>
      </c>
      <c r="H51">
        <f>VLOOKUP($A51,'MF-225'!$A$2:$BV$53,H$1,FALSE)</f>
        <v>221935</v>
      </c>
      <c r="I51">
        <f>VLOOKUP($A51,'MF-225'!$A$2:$BV$53,I$1,FALSE)</f>
        <v>170305</v>
      </c>
      <c r="J51">
        <f>VLOOKUP($A51,'MF-225'!$A$2:$BV$53,J$1,FALSE)</f>
        <v>253146</v>
      </c>
      <c r="K51">
        <f>VLOOKUP($A51,'MF-225'!$A$2:$BV$53,K$1,FALSE)</f>
        <v>275096</v>
      </c>
      <c r="L51">
        <f>VLOOKUP($A51,'MF-225'!$A$2:$BV$53,L$1,FALSE)</f>
        <v>279860</v>
      </c>
      <c r="M51">
        <f>VLOOKUP($A51,'MF-225'!$A$2:$BV$53,M$1,FALSE)</f>
        <v>281350</v>
      </c>
      <c r="N51">
        <f>VLOOKUP($A51,'MF-225'!$A$2:$BV$53,N$1,FALSE)</f>
        <v>271622</v>
      </c>
      <c r="O51">
        <f>VLOOKUP($A51,'MF-225'!$A$2:$BV$53,O$1,FALSE)</f>
        <v>269958</v>
      </c>
      <c r="P51">
        <f>VLOOKUP($A51,'MF-225'!$A$2:$BV$53,P$1,FALSE)</f>
        <v>270820</v>
      </c>
      <c r="Q51">
        <f>VLOOKUP($A51,'MF-225'!$A$2:$BV$53,Q$1,FALSE)</f>
        <v>294776</v>
      </c>
      <c r="R51">
        <f>VLOOKUP($A51,'MF-225'!$A$2:$BV$53,R$1,FALSE)</f>
        <v>296645</v>
      </c>
      <c r="S51">
        <f>VLOOKUP($A51,'MF-225'!$A$2:$BV$53,S$1,FALSE)</f>
        <v>295008</v>
      </c>
      <c r="T51">
        <f>VLOOKUP($A51,'MF-225'!$A$2:$BV$53,T$1,FALSE)</f>
        <v>294671</v>
      </c>
      <c r="U51">
        <f>VLOOKUP($A51,'MF-225'!$A$2:$BV$53,U$1,FALSE)</f>
        <v>287133.72199999995</v>
      </c>
      <c r="V51">
        <f>VLOOKUP($A51,'MF-225'!$A$2:$BV$53,V$1,FALSE)</f>
        <v>272179.46100000001</v>
      </c>
      <c r="W51">
        <f>VLOOKUP($A51,'MF-225'!$A$2:$BV$53,W$1,FALSE)</f>
        <v>288595.50599999994</v>
      </c>
      <c r="X51">
        <f>VLOOKUP($A51,'MF-225'!$A$2:$BV$53,X$1,FALSE)</f>
        <v>283645.15700000001</v>
      </c>
      <c r="Y51">
        <f>VLOOKUP($A51,'MF-225'!$A$2:$BV$53,Y$1,FALSE)</f>
        <v>294785.804</v>
      </c>
      <c r="Z51">
        <f>VLOOKUP($A51,'MF-225'!$A$2:$BV$53,Z$1,FALSE)</f>
        <v>287130</v>
      </c>
      <c r="AA51">
        <f>VLOOKUP($A51,'MF-225'!$A$2:$BV$53,AA$1,FALSE)</f>
        <v>273510</v>
      </c>
      <c r="AB51">
        <f>VLOOKUP($A51,'MF-225'!$A$2:$BV$53,AB$1,FALSE)</f>
        <v>320119</v>
      </c>
      <c r="AC51">
        <f>VLOOKUP($A51,'MF-225'!$A$2:$BV$53,AC$1,FALSE)</f>
        <v>286337</v>
      </c>
      <c r="AD51">
        <f>VLOOKUP($A51,'MF-225'!$A$2:$BV$53,AD$1,FALSE)</f>
        <v>400740</v>
      </c>
      <c r="AE51">
        <f>VLOOKUP($A51,'MF-225'!$A$2:$BV$53,AE$1,FALSE)</f>
        <v>508187</v>
      </c>
      <c r="AF51">
        <f>VLOOKUP($A51,'MF-225'!$A$2:$BV$53,AF$1,FALSE)</f>
        <v>508187</v>
      </c>
      <c r="AG51">
        <f>VLOOKUP($A51,'MF-225'!$A$2:$BV$53,AG$1,FALSE)</f>
        <v>394861</v>
      </c>
      <c r="AH51">
        <f>VLOOKUP($A51,'MF-225'!$A$2:$BV$53,AH$1,FALSE)</f>
        <v>501856</v>
      </c>
    </row>
    <row r="52" spans="1:34">
      <c r="A52" t="s">
        <v>46</v>
      </c>
      <c r="B52" t="str">
        <f>VLOOKUP(A52,'State Codes'!$C$10:$D$63,2,FALSE)</f>
        <v>WI</v>
      </c>
      <c r="C52">
        <f>VLOOKUP($A52,'MF-225'!$A$2:$BV$53,C$1,FALSE)</f>
        <v>443696</v>
      </c>
      <c r="D52">
        <f>VLOOKUP($A52,'MF-225'!$A$2:$BV$53,D$1,FALSE)</f>
        <v>453746</v>
      </c>
      <c r="E52">
        <f>VLOOKUP($A52,'MF-225'!$A$2:$BV$53,E$1,FALSE)</f>
        <v>489743</v>
      </c>
      <c r="F52">
        <f>VLOOKUP($A52,'MF-225'!$A$2:$BV$53,F$1,FALSE)</f>
        <v>522632</v>
      </c>
      <c r="G52">
        <f>VLOOKUP($A52,'MF-225'!$A$2:$BV$53,G$1,FALSE)</f>
        <v>565648</v>
      </c>
      <c r="H52">
        <f>VLOOKUP($A52,'MF-225'!$A$2:$BV$53,H$1,FALSE)</f>
        <v>589910</v>
      </c>
      <c r="I52">
        <f>VLOOKUP($A52,'MF-225'!$A$2:$BV$53,I$1,FALSE)</f>
        <v>601957</v>
      </c>
      <c r="J52">
        <f>VLOOKUP($A52,'MF-225'!$A$2:$BV$53,J$1,FALSE)</f>
        <v>635116</v>
      </c>
      <c r="K52">
        <f>VLOOKUP($A52,'MF-225'!$A$2:$BV$53,K$1,FALSE)</f>
        <v>670331</v>
      </c>
      <c r="L52">
        <f>VLOOKUP($A52,'MF-225'!$A$2:$BV$53,L$1,FALSE)</f>
        <v>677219</v>
      </c>
      <c r="M52">
        <f>VLOOKUP($A52,'MF-225'!$A$2:$BV$53,M$1,FALSE)</f>
        <v>654337</v>
      </c>
      <c r="N52">
        <f>VLOOKUP($A52,'MF-225'!$A$2:$BV$53,N$1,FALSE)</f>
        <v>671190</v>
      </c>
      <c r="O52">
        <f>VLOOKUP($A52,'MF-225'!$A$2:$BV$53,O$1,FALSE)</f>
        <v>683627</v>
      </c>
      <c r="P52">
        <f>VLOOKUP($A52,'MF-225'!$A$2:$BV$53,P$1,FALSE)</f>
        <v>676732</v>
      </c>
      <c r="Q52">
        <f>VLOOKUP($A52,'MF-225'!$A$2:$BV$53,Q$1,FALSE)</f>
        <v>728606</v>
      </c>
      <c r="R52">
        <f>VLOOKUP($A52,'MF-225'!$A$2:$BV$53,R$1,FALSE)</f>
        <v>704597</v>
      </c>
      <c r="S52">
        <f>VLOOKUP($A52,'MF-225'!$A$2:$BV$53,S$1,FALSE)</f>
        <v>760507</v>
      </c>
      <c r="T52">
        <f>VLOOKUP($A52,'MF-225'!$A$2:$BV$53,T$1,FALSE)</f>
        <v>762358</v>
      </c>
      <c r="U52">
        <f>VLOOKUP($A52,'MF-225'!$A$2:$BV$53,U$1,FALSE)</f>
        <v>747031.46499999985</v>
      </c>
      <c r="V52">
        <f>VLOOKUP($A52,'MF-225'!$A$2:$BV$53,V$1,FALSE)</f>
        <v>667593.20600000012</v>
      </c>
      <c r="W52">
        <f>VLOOKUP($A52,'MF-225'!$A$2:$BV$53,W$1,FALSE)</f>
        <v>715341.63</v>
      </c>
      <c r="X52">
        <f>VLOOKUP($A52,'MF-225'!$A$2:$BV$53,X$1,FALSE)</f>
        <v>695491.05299999996</v>
      </c>
      <c r="Y52">
        <f>VLOOKUP($A52,'MF-225'!$A$2:$BV$53,Y$1,FALSE)</f>
        <v>754157.65200000012</v>
      </c>
      <c r="Z52">
        <f>VLOOKUP($A52,'MF-225'!$A$2:$BV$53,Z$1,FALSE)</f>
        <v>728305</v>
      </c>
      <c r="AA52">
        <f>VLOOKUP($A52,'MF-225'!$A$2:$BV$53,AA$1,FALSE)</f>
        <v>802010</v>
      </c>
      <c r="AB52">
        <f>VLOOKUP($A52,'MF-225'!$A$2:$BV$53,AB$1,FALSE)</f>
        <v>804858</v>
      </c>
      <c r="AC52">
        <f>VLOOKUP($A52,'MF-225'!$A$2:$BV$53,AC$1,FALSE)</f>
        <v>807973</v>
      </c>
      <c r="AD52">
        <f>VLOOKUP($A52,'MF-225'!$A$2:$BV$53,AD$1,FALSE)</f>
        <v>803526</v>
      </c>
      <c r="AE52">
        <f>VLOOKUP($A52,'MF-225'!$A$2:$BV$53,AE$1,FALSE)</f>
        <v>868636</v>
      </c>
      <c r="AF52">
        <f>VLOOKUP($A52,'MF-225'!$A$2:$BV$53,AF$1,FALSE)</f>
        <v>863778</v>
      </c>
      <c r="AG52">
        <f>VLOOKUP($A52,'MF-225'!$A$2:$BV$53,AG$1,FALSE)</f>
        <v>860325</v>
      </c>
      <c r="AH52">
        <f>VLOOKUP($A52,'MF-225'!$A$2:$BV$53,AH$1,FALSE)</f>
        <v>921694</v>
      </c>
    </row>
    <row r="53" spans="1:34">
      <c r="A53" t="s">
        <v>47</v>
      </c>
      <c r="B53" t="str">
        <f>VLOOKUP(A53,'State Codes'!$C$10:$D$63,2,FALSE)</f>
        <v>WY</v>
      </c>
      <c r="C53">
        <f>VLOOKUP($A53,'MF-225'!$A$2:$BV$53,C$1,FALSE)</f>
        <v>176724</v>
      </c>
      <c r="D53">
        <f>VLOOKUP($A53,'MF-225'!$A$2:$BV$53,D$1,FALSE)</f>
        <v>158671</v>
      </c>
      <c r="E53">
        <f>VLOOKUP($A53,'MF-225'!$A$2:$BV$53,E$1,FALSE)</f>
        <v>173984</v>
      </c>
      <c r="F53">
        <f>VLOOKUP($A53,'MF-225'!$A$2:$BV$53,F$1,FALSE)</f>
        <v>207805</v>
      </c>
      <c r="G53">
        <f>VLOOKUP($A53,'MF-225'!$A$2:$BV$53,G$1,FALSE)</f>
        <v>198821</v>
      </c>
      <c r="H53">
        <f>VLOOKUP($A53,'MF-225'!$A$2:$BV$53,H$1,FALSE)</f>
        <v>214887</v>
      </c>
      <c r="I53">
        <f>VLOOKUP($A53,'MF-225'!$A$2:$BV$53,I$1,FALSE)</f>
        <v>239167</v>
      </c>
      <c r="J53">
        <f>VLOOKUP($A53,'MF-225'!$A$2:$BV$53,J$1,FALSE)</f>
        <v>260146</v>
      </c>
      <c r="K53">
        <f>VLOOKUP($A53,'MF-225'!$A$2:$BV$53,K$1,FALSE)</f>
        <v>262113</v>
      </c>
      <c r="L53">
        <f>VLOOKUP($A53,'MF-225'!$A$2:$BV$53,L$1,FALSE)</f>
        <v>346310</v>
      </c>
      <c r="M53">
        <f>VLOOKUP($A53,'MF-225'!$A$2:$BV$53,M$1,FALSE)</f>
        <v>272093</v>
      </c>
      <c r="N53">
        <f>VLOOKUP($A53,'MF-225'!$A$2:$BV$53,N$1,FALSE)</f>
        <v>308553</v>
      </c>
      <c r="O53">
        <f>VLOOKUP($A53,'MF-225'!$A$2:$BV$53,O$1,FALSE)</f>
        <v>304613</v>
      </c>
      <c r="P53">
        <f>VLOOKUP($A53,'MF-225'!$A$2:$BV$53,P$1,FALSE)</f>
        <v>292808</v>
      </c>
      <c r="Q53">
        <f>VLOOKUP($A53,'MF-225'!$A$2:$BV$53,Q$1,FALSE)</f>
        <v>339489</v>
      </c>
      <c r="R53">
        <f>VLOOKUP($A53,'MF-225'!$A$2:$BV$53,R$1,FALSE)</f>
        <v>346054</v>
      </c>
      <c r="S53">
        <f>VLOOKUP($A53,'MF-225'!$A$2:$BV$53,S$1,FALSE)</f>
        <v>360312</v>
      </c>
      <c r="T53">
        <f>VLOOKUP($A53,'MF-225'!$A$2:$BV$53,T$1,FALSE)</f>
        <v>392283</v>
      </c>
      <c r="U53">
        <f>VLOOKUP($A53,'MF-225'!$A$2:$BV$53,U$1,FALSE)</f>
        <v>389865.74799999996</v>
      </c>
      <c r="V53">
        <f>VLOOKUP($A53,'MF-225'!$A$2:$BV$53,V$1,FALSE)</f>
        <v>325629.52399999998</v>
      </c>
      <c r="W53">
        <f>VLOOKUP($A53,'MF-225'!$A$2:$BV$53,W$1,FALSE)</f>
        <v>348428.96600000007</v>
      </c>
      <c r="X53">
        <f>VLOOKUP($A53,'MF-225'!$A$2:$BV$53,X$1,FALSE)</f>
        <v>321932.859</v>
      </c>
      <c r="Y53">
        <f>VLOOKUP($A53,'MF-225'!$A$2:$BV$53,Y$1,FALSE)</f>
        <v>363484.46799999999</v>
      </c>
      <c r="Z53">
        <f>VLOOKUP($A53,'MF-225'!$A$2:$BV$53,Z$1,FALSE)</f>
        <v>368783</v>
      </c>
      <c r="AA53">
        <f>VLOOKUP($A53,'MF-225'!$A$2:$BV$53,AA$1,FALSE)</f>
        <v>365932</v>
      </c>
      <c r="AB53">
        <f>VLOOKUP($A53,'MF-225'!$A$2:$BV$53,AB$1,FALSE)</f>
        <v>350388</v>
      </c>
      <c r="AC53">
        <f>VLOOKUP($A53,'MF-225'!$A$2:$BV$53,AC$1,FALSE)</f>
        <v>338833</v>
      </c>
      <c r="AD53">
        <f>VLOOKUP($A53,'MF-225'!$A$2:$BV$53,AD$1,FALSE)</f>
        <v>326837</v>
      </c>
      <c r="AE53">
        <f>VLOOKUP($A53,'MF-225'!$A$2:$BV$53,AE$1,FALSE)</f>
        <v>355785</v>
      </c>
      <c r="AF53">
        <f>VLOOKUP($A53,'MF-225'!$A$2:$BV$53,AF$1,FALSE)</f>
        <v>368810</v>
      </c>
      <c r="AG53">
        <f>VLOOKUP($A53,'MF-225'!$A$2:$BV$53,AG$1,FALSE)</f>
        <v>351231</v>
      </c>
      <c r="AH53">
        <f>VLOOKUP($A53,'MF-225'!$A$2:$BV$53,AH$1,FALSE)</f>
        <v>365138</v>
      </c>
    </row>
    <row r="54" spans="1:34">
      <c r="A54" t="s">
        <v>48</v>
      </c>
      <c r="C54">
        <f>VLOOKUP($A54,'MF-225'!$A$2:$BV$53,C$1,FALSE)</f>
        <v>21225689</v>
      </c>
      <c r="D54">
        <f>VLOOKUP($A54,'MF-225'!$A$2:$BV$53,D$1,FALSE)</f>
        <v>20649770</v>
      </c>
      <c r="E54">
        <f>VLOOKUP($A54,'MF-225'!$A$2:$BV$53,E$1,FALSE)</f>
        <v>21913180</v>
      </c>
      <c r="F54">
        <f>VLOOKUP($A54,'MF-225'!$A$2:$BV$53,F$1,FALSE)</f>
        <v>23593864</v>
      </c>
      <c r="G54">
        <f>VLOOKUP($A54,'MF-225'!$A$2:$BV$53,G$1,FALSE)</f>
        <v>25157457</v>
      </c>
      <c r="H54">
        <f>VLOOKUP($A54,'MF-225'!$A$2:$BV$53,H$1,FALSE)</f>
        <v>26207171</v>
      </c>
      <c r="I54">
        <f>VLOOKUP($A54,'MF-225'!$A$2:$BV$53,I$1,FALSE)</f>
        <v>27160482</v>
      </c>
      <c r="J54">
        <f>VLOOKUP($A54,'MF-225'!$A$2:$BV$53,J$1,FALSE)</f>
        <v>29394119</v>
      </c>
      <c r="K54">
        <f>VLOOKUP($A54,'MF-225'!$A$2:$BV$53,K$1,FALSE)</f>
        <v>30189888</v>
      </c>
      <c r="L54">
        <f>VLOOKUP($A54,'MF-225'!$A$2:$BV$53,L$1,FALSE)</f>
        <v>31908492</v>
      </c>
      <c r="M54">
        <f>VLOOKUP($A54,'MF-225'!$A$2:$BV$53,M$1,FALSE)</f>
        <v>33376586</v>
      </c>
      <c r="N54">
        <f>VLOOKUP($A54,'MF-225'!$A$2:$BV$53,N$1,FALSE)</f>
        <v>33364801</v>
      </c>
      <c r="O54">
        <f>VLOOKUP($A54,'MF-225'!$A$2:$BV$53,O$1,FALSE)</f>
        <v>34775457</v>
      </c>
      <c r="P54">
        <f>VLOOKUP($A54,'MF-225'!$A$2:$BV$53,P$1,FALSE)</f>
        <v>35202137</v>
      </c>
      <c r="Q54">
        <f>VLOOKUP($A54,'MF-225'!$A$2:$BV$53,Q$1,FALSE)</f>
        <v>37354441</v>
      </c>
      <c r="R54">
        <f>VLOOKUP($A54,'MF-225'!$A$2:$BV$53,R$1,FALSE)</f>
        <v>39110963</v>
      </c>
      <c r="S54">
        <f>VLOOKUP($A54,'MF-225'!$A$2:$BV$53,S$1,FALSE)</f>
        <v>40094177</v>
      </c>
      <c r="T54">
        <f>VLOOKUP($A54,'MF-225'!$A$2:$BV$53,T$1,FALSE)</f>
        <v>40785107</v>
      </c>
      <c r="U54">
        <f>VLOOKUP($A54,'MF-225'!$A$2:$BV$53,U$1,FALSE)</f>
        <v>38714326.272999994</v>
      </c>
      <c r="V54">
        <f>VLOOKUP($A54,'MF-225'!$A$2:$BV$53,V$1,FALSE)</f>
        <v>35293181.386</v>
      </c>
      <c r="W54">
        <f>VLOOKUP($A54,'MF-225'!$A$2:$BV$53,W$1,FALSE)</f>
        <v>36685289.001999989</v>
      </c>
      <c r="X54">
        <f>VLOOKUP($A54,'MF-225'!$A$2:$BV$53,X$1,FALSE)</f>
        <v>37177873.523999996</v>
      </c>
      <c r="Y54">
        <f>VLOOKUP($A54,'MF-225'!$A$2:$BV$53,Y$1,FALSE)</f>
        <v>37414652.823999994</v>
      </c>
      <c r="Z54">
        <f>VLOOKUP($A54,'MF-225'!$A$2:$BV$53,Z$1,FALSE)</f>
        <v>38352305</v>
      </c>
      <c r="AA54">
        <f>VLOOKUP($A54,'MF-225'!$A$2:$BV$53,AA$1,FALSE)</f>
        <v>39710684</v>
      </c>
      <c r="AB54">
        <f>VLOOKUP($A54,'MF-225'!$A$2:$BV$53,AB$1,FALSE)</f>
        <v>40621320.129999995</v>
      </c>
      <c r="AC54">
        <f>VLOOKUP($A54,'MF-225'!$A$2:$BV$53,AC$1,FALSE)</f>
        <v>41420207</v>
      </c>
      <c r="AD54">
        <f>VLOOKUP($A54,'MF-225'!$A$2:$BV$53,AD$1,FALSE)</f>
        <v>42650439</v>
      </c>
      <c r="AE54">
        <f>VLOOKUP($A54,'MF-225'!$A$2:$BV$53,AE$1,FALSE)</f>
        <v>42884194</v>
      </c>
      <c r="AF54">
        <f>VLOOKUP($A54,'MF-225'!$A$2:$BV$53,AF$1,FALSE)</f>
        <v>43922308</v>
      </c>
      <c r="AG54">
        <f>VLOOKUP($A54,'MF-225'!$A$2:$BV$53,AG$1,FALSE)</f>
        <v>41933460</v>
      </c>
      <c r="AH54">
        <f>VLOOKUP($A54,'MF-225'!$A$2:$BV$53,AH$1,FALSE)</f>
        <v>45220997</v>
      </c>
    </row>
    <row r="55" spans="1:34">
      <c r="A55" s="67" t="s">
        <v>119</v>
      </c>
      <c r="C55" s="68">
        <f>SUM(C3:C53)-C54</f>
        <v>0</v>
      </c>
      <c r="D55" s="68">
        <f t="shared" ref="D55:AF55" si="0">SUM(D3:D53)-D54</f>
        <v>0</v>
      </c>
      <c r="E55" s="68">
        <f t="shared" si="0"/>
        <v>0</v>
      </c>
      <c r="F55" s="68">
        <f t="shared" si="0"/>
        <v>0</v>
      </c>
      <c r="G55" s="68">
        <f t="shared" si="0"/>
        <v>0</v>
      </c>
      <c r="H55" s="68">
        <f t="shared" si="0"/>
        <v>0</v>
      </c>
      <c r="I55" s="68">
        <f t="shared" si="0"/>
        <v>0</v>
      </c>
      <c r="J55" s="68">
        <f t="shared" si="0"/>
        <v>0</v>
      </c>
      <c r="K55" s="68">
        <f t="shared" si="0"/>
        <v>0</v>
      </c>
      <c r="L55" s="68">
        <f t="shared" si="0"/>
        <v>0</v>
      </c>
      <c r="M55" s="68">
        <f t="shared" si="0"/>
        <v>0</v>
      </c>
      <c r="N55" s="68">
        <f t="shared" si="0"/>
        <v>0</v>
      </c>
      <c r="O55" s="68">
        <f t="shared" si="0"/>
        <v>0</v>
      </c>
      <c r="P55" s="68">
        <f t="shared" si="0"/>
        <v>0</v>
      </c>
      <c r="Q55" s="68">
        <f t="shared" si="0"/>
        <v>0</v>
      </c>
      <c r="R55" s="68">
        <f t="shared" si="0"/>
        <v>0</v>
      </c>
      <c r="S55" s="68">
        <f t="shared" si="0"/>
        <v>0</v>
      </c>
      <c r="T55" s="68">
        <f t="shared" si="0"/>
        <v>0</v>
      </c>
      <c r="U55" s="68">
        <f t="shared" si="0"/>
        <v>0</v>
      </c>
      <c r="V55" s="68">
        <f t="shared" si="0"/>
        <v>0</v>
      </c>
      <c r="W55" s="68">
        <f t="shared" si="0"/>
        <v>0</v>
      </c>
      <c r="X55" s="68">
        <f t="shared" si="0"/>
        <v>0</v>
      </c>
      <c r="Y55" s="68">
        <f t="shared" si="0"/>
        <v>0</v>
      </c>
      <c r="Z55" s="68">
        <f t="shared" si="0"/>
        <v>0</v>
      </c>
      <c r="AA55" s="68">
        <f t="shared" si="0"/>
        <v>0</v>
      </c>
      <c r="AB55" s="68">
        <f t="shared" si="0"/>
        <v>0</v>
      </c>
      <c r="AC55" s="68">
        <f t="shared" si="0"/>
        <v>0</v>
      </c>
      <c r="AD55" s="68">
        <f t="shared" si="0"/>
        <v>0</v>
      </c>
      <c r="AE55" s="68">
        <f t="shared" si="0"/>
        <v>0</v>
      </c>
      <c r="AF55" s="68">
        <f t="shared" si="0"/>
        <v>0</v>
      </c>
      <c r="AG55" s="68">
        <f t="shared" ref="AG55:AH55" si="1">SUM(AG3:AG53)-AG54</f>
        <v>0</v>
      </c>
      <c r="AH55" s="68">
        <f t="shared" si="1"/>
        <v>0</v>
      </c>
    </row>
    <row r="57" spans="1:34">
      <c r="B57" t="s">
        <v>59</v>
      </c>
      <c r="C57" s="69">
        <f>SUMIF($B$3:$B$53,$B57,C$3:C$53)/C$54</f>
        <v>3.9350430508993135E-3</v>
      </c>
      <c r="D57" s="69">
        <f t="shared" ref="D57:AE66" si="2">SUMIF($B$3:$B$53,$B57,D$3:D$53)/D$54</f>
        <v>1.9407964350208258E-3</v>
      </c>
      <c r="E57" s="69">
        <f t="shared" si="2"/>
        <v>2.2757536788362074E-3</v>
      </c>
      <c r="F57" s="69">
        <f t="shared" si="2"/>
        <v>4.9406913594144649E-3</v>
      </c>
      <c r="G57" s="69">
        <f t="shared" si="2"/>
        <v>1.2092637185070016E-3</v>
      </c>
      <c r="H57" s="69">
        <f t="shared" si="2"/>
        <v>3.0473338766706256E-3</v>
      </c>
      <c r="I57" s="69">
        <f t="shared" si="2"/>
        <v>2.5013547255899214E-3</v>
      </c>
      <c r="J57" s="69">
        <f t="shared" si="2"/>
        <v>1.6457033463054293E-3</v>
      </c>
      <c r="K57" s="69">
        <f t="shared" si="2"/>
        <v>2.2842747876375032E-3</v>
      </c>
      <c r="L57" s="69">
        <f t="shared" si="2"/>
        <v>2.3630073147925638E-3</v>
      </c>
      <c r="M57" s="69">
        <f t="shared" si="2"/>
        <v>2.7370983958634955E-3</v>
      </c>
      <c r="N57" s="69">
        <f t="shared" si="2"/>
        <v>3.3549428333170639E-3</v>
      </c>
      <c r="O57" s="69">
        <f t="shared" si="2"/>
        <v>3.15124543151223E-3</v>
      </c>
      <c r="P57" s="69">
        <f t="shared" si="2"/>
        <v>2.6231077959840902E-3</v>
      </c>
      <c r="Q57" s="69">
        <f t="shared" si="2"/>
        <v>5.614673767973131E-3</v>
      </c>
      <c r="R57" s="69">
        <f t="shared" si="2"/>
        <v>5.9020536006745734E-3</v>
      </c>
      <c r="S57" s="69">
        <f t="shared" si="2"/>
        <v>5.9166197625156389E-3</v>
      </c>
      <c r="T57" s="69">
        <f t="shared" si="2"/>
        <v>5.8459574471632497E-3</v>
      </c>
      <c r="U57" s="69">
        <f t="shared" si="2"/>
        <v>6.3236510503539003E-3</v>
      </c>
      <c r="V57" s="69">
        <f t="shared" si="2"/>
        <v>7.5692248901644537E-3</v>
      </c>
      <c r="W57" s="69">
        <f t="shared" si="2"/>
        <v>5.7664887140037825E-3</v>
      </c>
      <c r="X57" s="69">
        <f t="shared" si="2"/>
        <v>3.8291233872776781E-3</v>
      </c>
      <c r="Y57" s="69">
        <f t="shared" si="2"/>
        <v>4.1654355776897549E-3</v>
      </c>
      <c r="Z57" s="69">
        <f t="shared" si="2"/>
        <v>3.4767141114464958E-3</v>
      </c>
      <c r="AA57" s="69">
        <f t="shared" si="2"/>
        <v>4.9327531099690953E-3</v>
      </c>
      <c r="AB57" s="69">
        <f t="shared" si="2"/>
        <v>3.4523988770229072E-3</v>
      </c>
      <c r="AC57" s="69">
        <f t="shared" si="2"/>
        <v>2.8046455682850645E-3</v>
      </c>
      <c r="AD57" s="69">
        <f t="shared" si="2"/>
        <v>3.1510812819535105E-3</v>
      </c>
      <c r="AE57" s="69">
        <f t="shared" si="2"/>
        <v>2.1827156177868239E-3</v>
      </c>
      <c r="AF57" s="69">
        <f t="shared" ref="AF57:AH65" si="3">SUMIF($B$3:$B$53,$B57,AF$3:AF$53)/AF$54</f>
        <v>2.8839559159778215E-3</v>
      </c>
      <c r="AG57" s="69">
        <f t="shared" si="3"/>
        <v>2.4688399192434873E-3</v>
      </c>
      <c r="AH57" s="69">
        <f t="shared" si="3"/>
        <v>2.6379117647494592E-3</v>
      </c>
    </row>
    <row r="58" spans="1:34">
      <c r="B58" t="s">
        <v>58</v>
      </c>
      <c r="C58" s="69">
        <f t="shared" ref="C58:R81" si="4">SUMIF($B$3:$B$53,$B58,C$3:C$53)/C$54</f>
        <v>2.6905651920180306E-2</v>
      </c>
      <c r="D58" s="69">
        <f t="shared" si="4"/>
        <v>2.68598149035074E-2</v>
      </c>
      <c r="E58" s="69">
        <f t="shared" si="4"/>
        <v>2.5186942287700825E-2</v>
      </c>
      <c r="F58" s="69">
        <f t="shared" si="4"/>
        <v>2.4895879708385197E-2</v>
      </c>
      <c r="G58" s="69">
        <f t="shared" si="4"/>
        <v>2.6196010192922121E-2</v>
      </c>
      <c r="H58" s="69">
        <f t="shared" si="4"/>
        <v>2.6573909866120231E-2</v>
      </c>
      <c r="I58" s="69">
        <f t="shared" si="4"/>
        <v>2.3956349522810384E-2</v>
      </c>
      <c r="J58" s="69">
        <f t="shared" si="4"/>
        <v>2.2448878294328196E-2</v>
      </c>
      <c r="K58" s="69">
        <f t="shared" si="4"/>
        <v>2.3384584931219355E-2</v>
      </c>
      <c r="L58" s="69">
        <f t="shared" si="4"/>
        <v>2.3370361720635374E-2</v>
      </c>
      <c r="M58" s="69">
        <f t="shared" si="4"/>
        <v>2.3062634386872283E-2</v>
      </c>
      <c r="N58" s="69">
        <f t="shared" si="4"/>
        <v>2.0482543864115958E-2</v>
      </c>
      <c r="O58" s="69">
        <f t="shared" si="4"/>
        <v>1.9351233831377112E-2</v>
      </c>
      <c r="P58" s="69">
        <f t="shared" si="4"/>
        <v>2.0878931298971993E-2</v>
      </c>
      <c r="Q58" s="69">
        <f t="shared" si="4"/>
        <v>2.1168406723045326E-2</v>
      </c>
      <c r="R58" s="69">
        <f t="shared" si="4"/>
        <v>2.0830374337752817E-2</v>
      </c>
      <c r="S58" s="69">
        <f t="shared" si="2"/>
        <v>2.0563983642811774E-2</v>
      </c>
      <c r="T58" s="69">
        <f t="shared" si="2"/>
        <v>2.1625540911293917E-2</v>
      </c>
      <c r="U58" s="69">
        <f t="shared" si="2"/>
        <v>2.0002429786310543E-2</v>
      </c>
      <c r="V58" s="69">
        <f t="shared" si="2"/>
        <v>1.9488704389591861E-2</v>
      </c>
      <c r="W58" s="69">
        <f t="shared" si="2"/>
        <v>2.033882248983571E-2</v>
      </c>
      <c r="X58" s="69">
        <f t="shared" si="2"/>
        <v>2.0131561734342947E-2</v>
      </c>
      <c r="Y58" s="69">
        <f t="shared" si="2"/>
        <v>1.9536261807329397E-2</v>
      </c>
      <c r="Z58" s="69">
        <f t="shared" si="2"/>
        <v>1.9206981171014364E-2</v>
      </c>
      <c r="AA58" s="69">
        <f t="shared" si="2"/>
        <v>1.9623937981022941E-2</v>
      </c>
      <c r="AB58" s="69">
        <f t="shared" si="2"/>
        <v>2.0394536596760281E-2</v>
      </c>
      <c r="AC58" s="69">
        <f t="shared" si="2"/>
        <v>2.3268908337420912E-2</v>
      </c>
      <c r="AD58" s="69">
        <f t="shared" si="2"/>
        <v>2.0904708624452845E-2</v>
      </c>
      <c r="AE58" s="69">
        <f t="shared" si="2"/>
        <v>2.0042349402672695E-2</v>
      </c>
      <c r="AF58" s="69">
        <f t="shared" si="3"/>
        <v>1.9903462267966427E-2</v>
      </c>
      <c r="AG58" s="69">
        <f t="shared" si="3"/>
        <v>2.0596702490087868E-2</v>
      </c>
      <c r="AH58" s="69">
        <f t="shared" si="3"/>
        <v>2.1901242027016786E-2</v>
      </c>
    </row>
    <row r="59" spans="1:34">
      <c r="B59" t="s">
        <v>61</v>
      </c>
      <c r="C59" s="69">
        <f t="shared" si="4"/>
        <v>1.8176182643588154E-2</v>
      </c>
      <c r="D59" s="69">
        <f t="shared" si="2"/>
        <v>1.873924019492711E-2</v>
      </c>
      <c r="E59" s="69">
        <f t="shared" si="2"/>
        <v>1.8502152585795399E-2</v>
      </c>
      <c r="F59" s="69">
        <f t="shared" si="2"/>
        <v>1.813912295162844E-2</v>
      </c>
      <c r="G59" s="69">
        <f t="shared" si="2"/>
        <v>1.8769583905082297E-2</v>
      </c>
      <c r="H59" s="69">
        <f t="shared" si="2"/>
        <v>1.8728232818414473E-2</v>
      </c>
      <c r="I59" s="69">
        <f t="shared" si="2"/>
        <v>1.8322944342445763E-2</v>
      </c>
      <c r="J59" s="69">
        <f t="shared" si="2"/>
        <v>1.8191121836310182E-2</v>
      </c>
      <c r="K59" s="69">
        <f t="shared" si="2"/>
        <v>1.8636505044338024E-2</v>
      </c>
      <c r="L59" s="69">
        <f t="shared" si="2"/>
        <v>1.748186658272663E-2</v>
      </c>
      <c r="M59" s="69">
        <f t="shared" si="2"/>
        <v>1.7612406493582058E-2</v>
      </c>
      <c r="N59" s="69">
        <f t="shared" si="2"/>
        <v>1.7444551819745604E-2</v>
      </c>
      <c r="O59" s="69">
        <f t="shared" si="2"/>
        <v>1.6471875552922281E-2</v>
      </c>
      <c r="P59" s="69">
        <f t="shared" si="2"/>
        <v>1.6777646198013491E-2</v>
      </c>
      <c r="Q59" s="69">
        <f t="shared" si="2"/>
        <v>1.6115727712268536E-2</v>
      </c>
      <c r="R59" s="69">
        <f t="shared" si="2"/>
        <v>1.6214660835633221E-2</v>
      </c>
      <c r="S59" s="69">
        <f t="shared" si="2"/>
        <v>1.624719719274946E-2</v>
      </c>
      <c r="T59" s="69">
        <f t="shared" si="2"/>
        <v>1.6519044562026037E-2</v>
      </c>
      <c r="U59" s="69">
        <f t="shared" si="2"/>
        <v>1.6231965205042539E-2</v>
      </c>
      <c r="V59" s="69">
        <f t="shared" si="2"/>
        <v>1.6800502610263609E-2</v>
      </c>
      <c r="W59" s="69">
        <f t="shared" si="2"/>
        <v>1.6878380103976923E-2</v>
      </c>
      <c r="X59" s="69">
        <f t="shared" si="2"/>
        <v>1.6227539146652349E-2</v>
      </c>
      <c r="Y59" s="69">
        <f t="shared" si="2"/>
        <v>1.621423803806776E-2</v>
      </c>
      <c r="Z59" s="69">
        <f t="shared" si="2"/>
        <v>1.5601956649020183E-2</v>
      </c>
      <c r="AA59" s="69">
        <f t="shared" si="2"/>
        <v>1.5431237598425653E-2</v>
      </c>
      <c r="AB59" s="69">
        <f t="shared" si="2"/>
        <v>1.5186606393532786E-2</v>
      </c>
      <c r="AC59" s="69">
        <f t="shared" si="2"/>
        <v>1.5492124411642848E-2</v>
      </c>
      <c r="AD59" s="69">
        <f t="shared" si="2"/>
        <v>1.5617049100010437E-2</v>
      </c>
      <c r="AE59" s="69">
        <f t="shared" si="2"/>
        <v>1.5900753550364032E-2</v>
      </c>
      <c r="AF59" s="69">
        <f t="shared" si="3"/>
        <v>1.5489122292935972E-2</v>
      </c>
      <c r="AG59" s="69">
        <f t="shared" si="3"/>
        <v>1.6207510660937591E-2</v>
      </c>
      <c r="AH59" s="69">
        <f t="shared" si="3"/>
        <v>1.631861411635838E-2</v>
      </c>
    </row>
    <row r="60" spans="1:34">
      <c r="B60" t="s">
        <v>60</v>
      </c>
      <c r="C60" s="69">
        <f t="shared" si="4"/>
        <v>1.5597656217425969E-2</v>
      </c>
      <c r="D60" s="69">
        <f t="shared" si="2"/>
        <v>1.4581373061298019E-2</v>
      </c>
      <c r="E60" s="69">
        <f t="shared" si="2"/>
        <v>1.607165185518487E-2</v>
      </c>
      <c r="F60" s="69">
        <f t="shared" si="2"/>
        <v>2.0110567730660819E-2</v>
      </c>
      <c r="G60" s="69">
        <f t="shared" si="2"/>
        <v>1.8423125994014418E-2</v>
      </c>
      <c r="H60" s="69">
        <f t="shared" si="2"/>
        <v>1.8480552517476993E-2</v>
      </c>
      <c r="I60" s="69">
        <f t="shared" si="2"/>
        <v>1.9488240304424642E-2</v>
      </c>
      <c r="J60" s="69">
        <f t="shared" si="2"/>
        <v>2.3435606285733553E-2</v>
      </c>
      <c r="K60" s="69">
        <f t="shared" si="2"/>
        <v>2.0087785685061171E-2</v>
      </c>
      <c r="L60" s="69">
        <f t="shared" si="2"/>
        <v>2.0805621274737771E-2</v>
      </c>
      <c r="M60" s="69">
        <f t="shared" si="2"/>
        <v>1.8958230179683445E-2</v>
      </c>
      <c r="N60" s="69">
        <f t="shared" si="2"/>
        <v>2.0347851018203286E-2</v>
      </c>
      <c r="O60" s="69">
        <f t="shared" si="2"/>
        <v>2.0388258305275471E-2</v>
      </c>
      <c r="P60" s="69">
        <f t="shared" si="2"/>
        <v>2.0851404561035597E-2</v>
      </c>
      <c r="Q60" s="69">
        <f t="shared" si="2"/>
        <v>2.0902226859719302E-2</v>
      </c>
      <c r="R60" s="69">
        <f t="shared" si="2"/>
        <v>2.2002449799049948E-2</v>
      </c>
      <c r="S60" s="69">
        <f t="shared" si="2"/>
        <v>2.210430706683417E-2</v>
      </c>
      <c r="T60" s="69">
        <f t="shared" si="2"/>
        <v>2.1709076305721105E-2</v>
      </c>
      <c r="U60" s="69">
        <f t="shared" si="2"/>
        <v>2.1166981060742582E-2</v>
      </c>
      <c r="V60" s="69">
        <f t="shared" si="2"/>
        <v>2.057896405134238E-2</v>
      </c>
      <c r="W60" s="69">
        <f t="shared" si="2"/>
        <v>2.114793322079879E-2</v>
      </c>
      <c r="X60" s="69">
        <f t="shared" si="2"/>
        <v>2.0991161274896808E-2</v>
      </c>
      <c r="Y60" s="69">
        <f t="shared" si="2"/>
        <v>2.0478476430189317E-2</v>
      </c>
      <c r="Z60" s="69">
        <f t="shared" si="2"/>
        <v>1.8692435826216963E-2</v>
      </c>
      <c r="AA60" s="69">
        <f t="shared" si="2"/>
        <v>1.9392161565386281E-2</v>
      </c>
      <c r="AB60" s="69">
        <f t="shared" si="2"/>
        <v>1.9885395093386889E-2</v>
      </c>
      <c r="AC60" s="69">
        <f t="shared" si="2"/>
        <v>2.0473726748878873E-2</v>
      </c>
      <c r="AD60" s="69">
        <f t="shared" si="2"/>
        <v>2.0295594143825813E-2</v>
      </c>
      <c r="AE60" s="69">
        <f t="shared" si="2"/>
        <v>2.0860109904362434E-2</v>
      </c>
      <c r="AF60" s="69">
        <f t="shared" si="3"/>
        <v>2.1552123353809186E-2</v>
      </c>
      <c r="AG60" s="69">
        <f t="shared" si="3"/>
        <v>2.2820725978729157E-2</v>
      </c>
      <c r="AH60" s="69">
        <f t="shared" si="3"/>
        <v>2.3781607468760586E-2</v>
      </c>
    </row>
    <row r="61" spans="1:34">
      <c r="B61" t="s">
        <v>62</v>
      </c>
      <c r="C61" s="69">
        <f t="shared" si="4"/>
        <v>8.7281501203565176E-2</v>
      </c>
      <c r="D61" s="69">
        <f t="shared" si="2"/>
        <v>8.6869006289174169E-2</v>
      </c>
      <c r="E61" s="69">
        <f t="shared" si="2"/>
        <v>9.1211818640653711E-2</v>
      </c>
      <c r="F61" s="69">
        <f t="shared" si="2"/>
        <v>7.8549151592973501E-2</v>
      </c>
      <c r="G61" s="69">
        <f t="shared" si="2"/>
        <v>8.0915531327351561E-2</v>
      </c>
      <c r="H61" s="69">
        <f t="shared" si="2"/>
        <v>8.0499531979243394E-2</v>
      </c>
      <c r="I61" s="69">
        <f t="shared" si="2"/>
        <v>7.8567346485235418E-2</v>
      </c>
      <c r="J61" s="69">
        <f t="shared" si="2"/>
        <v>7.8173698623183768E-2</v>
      </c>
      <c r="K61" s="69">
        <f t="shared" si="2"/>
        <v>7.7753517999139321E-2</v>
      </c>
      <c r="L61" s="69">
        <f t="shared" si="2"/>
        <v>7.7352072921528223E-2</v>
      </c>
      <c r="M61" s="69">
        <f t="shared" si="2"/>
        <v>7.9078369489318054E-2</v>
      </c>
      <c r="N61" s="69">
        <f t="shared" si="2"/>
        <v>7.9361180664617184E-2</v>
      </c>
      <c r="O61" s="69">
        <f t="shared" si="2"/>
        <v>7.8575617280888646E-2</v>
      </c>
      <c r="P61" s="69">
        <f t="shared" si="2"/>
        <v>7.6366244469760453E-2</v>
      </c>
      <c r="Q61" s="69">
        <f t="shared" si="2"/>
        <v>7.7868572574811112E-2</v>
      </c>
      <c r="R61" s="69">
        <f t="shared" si="2"/>
        <v>7.8351535348285845E-2</v>
      </c>
      <c r="S61" s="69">
        <f t="shared" si="2"/>
        <v>7.5967415417954584E-2</v>
      </c>
      <c r="T61" s="69">
        <f t="shared" si="2"/>
        <v>7.7996877634769965E-2</v>
      </c>
      <c r="U61" s="69">
        <f t="shared" si="2"/>
        <v>7.6368170251794917E-2</v>
      </c>
      <c r="V61" s="69">
        <f t="shared" si="2"/>
        <v>7.7305013004077605E-2</v>
      </c>
      <c r="W61" s="69">
        <f t="shared" si="2"/>
        <v>7.4496251695087057E-2</v>
      </c>
      <c r="X61" s="69">
        <f t="shared" si="2"/>
        <v>7.4424519121939883E-2</v>
      </c>
      <c r="Y61" s="69">
        <f t="shared" si="2"/>
        <v>7.3456550136342391E-2</v>
      </c>
      <c r="Z61" s="69">
        <f t="shared" si="2"/>
        <v>7.4554632374768615E-2</v>
      </c>
      <c r="AA61" s="69">
        <f t="shared" si="2"/>
        <v>7.3499942735813867E-2</v>
      </c>
      <c r="AB61" s="69">
        <f t="shared" si="2"/>
        <v>7.414916576715401E-2</v>
      </c>
      <c r="AC61" s="69">
        <f t="shared" si="2"/>
        <v>7.6831291548108388E-2</v>
      </c>
      <c r="AD61" s="69">
        <f t="shared" si="2"/>
        <v>7.7309942812077509E-2</v>
      </c>
      <c r="AE61" s="69">
        <f t="shared" si="2"/>
        <v>7.6543632835911521E-2</v>
      </c>
      <c r="AF61" s="69">
        <f t="shared" si="3"/>
        <v>7.9739070178188265E-2</v>
      </c>
      <c r="AG61" s="69">
        <f t="shared" si="3"/>
        <v>7.506058407772695E-2</v>
      </c>
      <c r="AH61" s="69">
        <f t="shared" si="3"/>
        <v>7.4455965665684021E-2</v>
      </c>
    </row>
    <row r="62" spans="1:34">
      <c r="B62" t="s">
        <v>64</v>
      </c>
      <c r="C62" s="69">
        <f t="shared" si="4"/>
        <v>9.715350111838536E-3</v>
      </c>
      <c r="D62" s="69">
        <f t="shared" si="2"/>
        <v>1.0092364224879987E-2</v>
      </c>
      <c r="E62" s="69">
        <f t="shared" si="2"/>
        <v>1.0234297349814131E-2</v>
      </c>
      <c r="F62" s="69">
        <f t="shared" si="2"/>
        <v>1.1169938082206458E-2</v>
      </c>
      <c r="G62" s="69">
        <f t="shared" si="2"/>
        <v>1.070851477555939E-2</v>
      </c>
      <c r="H62" s="69">
        <f t="shared" si="2"/>
        <v>1.0904839747869009E-2</v>
      </c>
      <c r="I62" s="69">
        <f t="shared" si="2"/>
        <v>1.0122758498910292E-2</v>
      </c>
      <c r="J62" s="69">
        <f t="shared" si="2"/>
        <v>9.9572979207167255E-3</v>
      </c>
      <c r="K62" s="69">
        <f t="shared" si="2"/>
        <v>1.2789646652548031E-2</v>
      </c>
      <c r="L62" s="69">
        <f t="shared" si="2"/>
        <v>1.4083241539587643E-2</v>
      </c>
      <c r="M62" s="69">
        <f t="shared" si="2"/>
        <v>1.4155042699693731E-2</v>
      </c>
      <c r="N62" s="69">
        <f t="shared" si="2"/>
        <v>1.5374496014527405E-2</v>
      </c>
      <c r="O62" s="69">
        <f t="shared" si="2"/>
        <v>1.5812531234312751E-2</v>
      </c>
      <c r="P62" s="69">
        <f t="shared" si="2"/>
        <v>1.3504464231816381E-2</v>
      </c>
      <c r="Q62" s="69">
        <f t="shared" si="2"/>
        <v>1.3600310602961506E-2</v>
      </c>
      <c r="R62" s="69">
        <f t="shared" si="2"/>
        <v>1.4165286597519984E-2</v>
      </c>
      <c r="S62" s="69">
        <f t="shared" si="2"/>
        <v>1.4519963834149783E-2</v>
      </c>
      <c r="T62" s="69">
        <f t="shared" si="2"/>
        <v>1.4749820320441968E-2</v>
      </c>
      <c r="U62" s="69">
        <f t="shared" si="2"/>
        <v>1.5054015815495632E-2</v>
      </c>
      <c r="V62" s="69">
        <f t="shared" si="2"/>
        <v>1.4875589203988798E-2</v>
      </c>
      <c r="W62" s="69">
        <f t="shared" si="2"/>
        <v>1.471427680372292E-2</v>
      </c>
      <c r="X62" s="69">
        <f t="shared" si="2"/>
        <v>1.4599621214204439E-2</v>
      </c>
      <c r="Y62" s="69">
        <f t="shared" si="2"/>
        <v>1.4928782919020146E-2</v>
      </c>
      <c r="Z62" s="69">
        <f t="shared" si="2"/>
        <v>1.4746884183362643E-2</v>
      </c>
      <c r="AA62" s="69">
        <f t="shared" si="2"/>
        <v>1.5505399000430211E-2</v>
      </c>
      <c r="AB62" s="69">
        <f t="shared" si="2"/>
        <v>1.5576549407430597E-2</v>
      </c>
      <c r="AC62" s="69">
        <f t="shared" si="2"/>
        <v>1.5359966694517002E-2</v>
      </c>
      <c r="AD62" s="69">
        <f t="shared" si="2"/>
        <v>1.5600238018652048E-2</v>
      </c>
      <c r="AE62" s="69">
        <f t="shared" si="2"/>
        <v>1.5690419645056172E-2</v>
      </c>
      <c r="AF62" s="69">
        <f t="shared" si="3"/>
        <v>1.5525163204082992E-2</v>
      </c>
      <c r="AG62" s="69">
        <f t="shared" si="3"/>
        <v>1.5726272051006525E-2</v>
      </c>
      <c r="AH62" s="69">
        <f t="shared" si="3"/>
        <v>1.5695717633116314E-2</v>
      </c>
    </row>
    <row r="63" spans="1:34">
      <c r="B63" t="s">
        <v>65</v>
      </c>
      <c r="C63" s="69">
        <f t="shared" si="4"/>
        <v>8.7722476288048887E-3</v>
      </c>
      <c r="D63" s="69">
        <f t="shared" si="2"/>
        <v>8.3875026210945697E-3</v>
      </c>
      <c r="E63" s="69">
        <f t="shared" si="2"/>
        <v>8.642926311927342E-3</v>
      </c>
      <c r="F63" s="69">
        <f t="shared" si="2"/>
        <v>8.3617927101724415E-3</v>
      </c>
      <c r="G63" s="69">
        <f t="shared" si="2"/>
        <v>7.4123946629422836E-3</v>
      </c>
      <c r="H63" s="69">
        <f t="shared" si="2"/>
        <v>7.6595829439201962E-3</v>
      </c>
      <c r="I63" s="69">
        <f t="shared" si="2"/>
        <v>6.5398692114521382E-3</v>
      </c>
      <c r="J63" s="69">
        <f t="shared" si="2"/>
        <v>8.3317006371240454E-3</v>
      </c>
      <c r="K63" s="69">
        <f t="shared" si="2"/>
        <v>7.4003918133117947E-3</v>
      </c>
      <c r="L63" s="69">
        <f t="shared" si="2"/>
        <v>7.4366723441521461E-3</v>
      </c>
      <c r="M63" s="69">
        <f t="shared" si="2"/>
        <v>8.2367321810565049E-3</v>
      </c>
      <c r="N63" s="69">
        <f t="shared" si="2"/>
        <v>8.1876106499181572E-3</v>
      </c>
      <c r="O63" s="69">
        <f t="shared" si="2"/>
        <v>6.5883246336633332E-3</v>
      </c>
      <c r="P63" s="69">
        <f t="shared" si="2"/>
        <v>7.5861303533930344E-3</v>
      </c>
      <c r="Q63" s="69">
        <f t="shared" si="2"/>
        <v>7.6513793902042333E-3</v>
      </c>
      <c r="R63" s="69">
        <f t="shared" si="2"/>
        <v>7.8572087319864758E-3</v>
      </c>
      <c r="S63" s="69">
        <f t="shared" si="2"/>
        <v>7.5493256788884827E-3</v>
      </c>
      <c r="T63" s="69">
        <f t="shared" si="2"/>
        <v>7.523849330590208E-3</v>
      </c>
      <c r="U63" s="69">
        <f t="shared" si="2"/>
        <v>7.6481524930087745E-3</v>
      </c>
      <c r="V63" s="69">
        <f t="shared" si="2"/>
        <v>7.6064900487120965E-3</v>
      </c>
      <c r="W63" s="69">
        <f t="shared" si="2"/>
        <v>7.3688231537514248E-3</v>
      </c>
      <c r="X63" s="69">
        <f t="shared" si="2"/>
        <v>7.4187570147590566E-3</v>
      </c>
      <c r="Y63" s="69">
        <f t="shared" si="2"/>
        <v>7.201402703573034E-3</v>
      </c>
      <c r="Z63" s="69">
        <f t="shared" si="2"/>
        <v>7.0374648929184313E-3</v>
      </c>
      <c r="AA63" s="69">
        <f t="shared" si="2"/>
        <v>6.8240577271345918E-3</v>
      </c>
      <c r="AB63" s="69">
        <f t="shared" si="2"/>
        <v>6.7455217881418478E-3</v>
      </c>
      <c r="AC63" s="69">
        <f t="shared" si="2"/>
        <v>6.6053508617182916E-3</v>
      </c>
      <c r="AD63" s="69">
        <f t="shared" si="2"/>
        <v>6.4301096642873949E-3</v>
      </c>
      <c r="AE63" s="69">
        <f t="shared" si="2"/>
        <v>6.6367109522916532E-3</v>
      </c>
      <c r="AF63" s="69">
        <f t="shared" si="3"/>
        <v>6.5229040331851416E-3</v>
      </c>
      <c r="AG63" s="69">
        <f t="shared" si="3"/>
        <v>6.5859816957627628E-3</v>
      </c>
      <c r="AH63" s="69">
        <f t="shared" si="3"/>
        <v>6.7797709104025286E-3</v>
      </c>
    </row>
    <row r="64" spans="1:34">
      <c r="B64" t="s">
        <v>67</v>
      </c>
      <c r="C64" s="69">
        <f t="shared" si="4"/>
        <v>1.0750181065971522E-3</v>
      </c>
      <c r="D64" s="69">
        <f t="shared" si="2"/>
        <v>1.0725543190069429E-3</v>
      </c>
      <c r="E64" s="69">
        <f t="shared" si="2"/>
        <v>9.6252574934354576E-4</v>
      </c>
      <c r="F64" s="69">
        <f t="shared" si="2"/>
        <v>8.8463678522517552E-4</v>
      </c>
      <c r="G64" s="69">
        <f t="shared" si="2"/>
        <v>8.7007999258430615E-4</v>
      </c>
      <c r="H64" s="69">
        <f t="shared" si="2"/>
        <v>8.1515856862230567E-4</v>
      </c>
      <c r="I64" s="69">
        <f t="shared" si="2"/>
        <v>7.7620124709127031E-4</v>
      </c>
      <c r="J64" s="69">
        <f t="shared" si="2"/>
        <v>7.3786868727040262E-4</v>
      </c>
      <c r="K64" s="69">
        <f t="shared" si="2"/>
        <v>7.1351705577708672E-4</v>
      </c>
      <c r="L64" s="69">
        <f t="shared" si="2"/>
        <v>6.9646036547261461E-4</v>
      </c>
      <c r="M64" s="69">
        <f t="shared" si="2"/>
        <v>6.9554747151191559E-4</v>
      </c>
      <c r="N64" s="69">
        <f t="shared" si="2"/>
        <v>8.2368241908591035E-4</v>
      </c>
      <c r="O64" s="69">
        <f t="shared" si="2"/>
        <v>7.8132689960048551E-4</v>
      </c>
      <c r="P64" s="69">
        <f t="shared" si="2"/>
        <v>7.3035338735259173E-4</v>
      </c>
      <c r="Q64" s="69">
        <f t="shared" si="2"/>
        <v>6.5355013611366854E-4</v>
      </c>
      <c r="R64" s="69">
        <f t="shared" si="2"/>
        <v>7.3051128912371703E-4</v>
      </c>
      <c r="S64" s="69">
        <f t="shared" si="2"/>
        <v>4.8987163397817097E-4</v>
      </c>
      <c r="T64" s="69">
        <f t="shared" si="2"/>
        <v>5.3607803456295943E-4</v>
      </c>
      <c r="U64" s="69">
        <f t="shared" si="2"/>
        <v>6.9661579049119674E-4</v>
      </c>
      <c r="V64" s="69">
        <f t="shared" si="2"/>
        <v>6.204869649038446E-4</v>
      </c>
      <c r="W64" s="69">
        <f t="shared" si="2"/>
        <v>5.8761565157152719E-4</v>
      </c>
      <c r="X64" s="69">
        <f t="shared" si="2"/>
        <v>4.8435562051109417E-4</v>
      </c>
      <c r="Y64" s="69">
        <f t="shared" si="2"/>
        <v>4.4257478688612093E-4</v>
      </c>
      <c r="Z64" s="69">
        <f t="shared" si="2"/>
        <v>4.2657149289984002E-4</v>
      </c>
      <c r="AA64" s="69">
        <f t="shared" si="2"/>
        <v>4.4522023342634945E-4</v>
      </c>
      <c r="AB64" s="69">
        <f t="shared" si="2"/>
        <v>3.8290237614687787E-4</v>
      </c>
      <c r="AC64" s="69">
        <f t="shared" si="2"/>
        <v>3.7817290483362385E-4</v>
      </c>
      <c r="AD64" s="69">
        <f t="shared" si="2"/>
        <v>2.2522628665088302E-4</v>
      </c>
      <c r="AE64" s="69">
        <f t="shared" si="2"/>
        <v>1.6297379869142464E-4</v>
      </c>
      <c r="AF64" s="69">
        <f t="shared" si="3"/>
        <v>3.7655125044886074E-4</v>
      </c>
      <c r="AG64" s="69">
        <f t="shared" si="3"/>
        <v>2.7159695384067998E-4</v>
      </c>
      <c r="AH64" s="69">
        <f t="shared" si="3"/>
        <v>2.7858740045028199E-4</v>
      </c>
    </row>
    <row r="65" spans="2:34">
      <c r="B65" t="s">
        <v>66</v>
      </c>
      <c r="C65" s="69">
        <f t="shared" si="4"/>
        <v>2.5095062874048515E-3</v>
      </c>
      <c r="D65" s="69">
        <f t="shared" si="2"/>
        <v>2.5515538429725852E-3</v>
      </c>
      <c r="E65" s="69">
        <f t="shared" si="2"/>
        <v>2.3959553109133406E-3</v>
      </c>
      <c r="F65" s="69">
        <f t="shared" si="2"/>
        <v>2.3376416851432218E-3</v>
      </c>
      <c r="G65" s="69">
        <f t="shared" si="2"/>
        <v>2.4755284288074109E-3</v>
      </c>
      <c r="H65" s="69">
        <f t="shared" si="2"/>
        <v>2.4184601993095705E-3</v>
      </c>
      <c r="I65" s="69">
        <f t="shared" si="2"/>
        <v>2.1967945929678274E-3</v>
      </c>
      <c r="J65" s="69">
        <f t="shared" si="2"/>
        <v>2.1613166905937887E-3</v>
      </c>
      <c r="K65" s="69">
        <f t="shared" si="2"/>
        <v>2.0811604203367696E-3</v>
      </c>
      <c r="L65" s="69">
        <f t="shared" si="2"/>
        <v>1.8095809729898862E-3</v>
      </c>
      <c r="M65" s="69">
        <f t="shared" si="2"/>
        <v>1.7473326960402722E-3</v>
      </c>
      <c r="N65" s="69">
        <f t="shared" si="2"/>
        <v>1.7027525505097423E-3</v>
      </c>
      <c r="O65" s="69">
        <f t="shared" si="2"/>
        <v>1.7746136305268397E-3</v>
      </c>
      <c r="P65" s="69">
        <f t="shared" si="2"/>
        <v>1.81196385889868E-3</v>
      </c>
      <c r="Q65" s="69">
        <f t="shared" si="2"/>
        <v>1.7553200702427859E-3</v>
      </c>
      <c r="R65" s="69">
        <f t="shared" si="2"/>
        <v>1.8574331703364092E-3</v>
      </c>
      <c r="S65" s="69">
        <f t="shared" si="2"/>
        <v>1.7573374807019983E-3</v>
      </c>
      <c r="T65" s="69">
        <f t="shared" si="2"/>
        <v>1.7557389269568424E-3</v>
      </c>
      <c r="U65" s="69">
        <f t="shared" si="2"/>
        <v>1.709161965867591E-3</v>
      </c>
      <c r="V65" s="69">
        <f t="shared" si="2"/>
        <v>1.9414028803642971E-3</v>
      </c>
      <c r="W65" s="69">
        <f t="shared" si="2"/>
        <v>1.663853540765954E-3</v>
      </c>
      <c r="X65" s="69">
        <f t="shared" si="2"/>
        <v>1.6439627177854833E-3</v>
      </c>
      <c r="Y65" s="69">
        <f t="shared" si="2"/>
        <v>1.6208532065036169E-3</v>
      </c>
      <c r="Z65" s="69">
        <f t="shared" si="2"/>
        <v>1.5950019170946832E-3</v>
      </c>
      <c r="AA65" s="69">
        <f t="shared" si="2"/>
        <v>1.6089372824703799E-3</v>
      </c>
      <c r="AB65" s="69">
        <f t="shared" si="2"/>
        <v>1.608958049389716E-3</v>
      </c>
      <c r="AC65" s="69">
        <f t="shared" si="2"/>
        <v>1.6913483797896037E-3</v>
      </c>
      <c r="AD65" s="69">
        <f t="shared" si="2"/>
        <v>1.8013882576917908E-3</v>
      </c>
      <c r="AE65" s="69">
        <f t="shared" si="2"/>
        <v>1.8728345459868034E-3</v>
      </c>
      <c r="AF65" s="69">
        <f t="shared" si="3"/>
        <v>1.915063297675523E-3</v>
      </c>
      <c r="AG65" s="69">
        <f t="shared" si="3"/>
        <v>1.8479753399791002E-3</v>
      </c>
      <c r="AH65" s="69">
        <f t="shared" si="3"/>
        <v>1.7715221979736537E-3</v>
      </c>
    </row>
    <row r="66" spans="2:34">
      <c r="B66" t="s">
        <v>72</v>
      </c>
      <c r="C66" s="69">
        <f t="shared" si="4"/>
        <v>3.9756023938728208E-2</v>
      </c>
      <c r="D66" s="69">
        <f t="shared" si="2"/>
        <v>4.0967139101307185E-2</v>
      </c>
      <c r="E66" s="69">
        <f t="shared" si="2"/>
        <v>4.1140035357716223E-2</v>
      </c>
      <c r="F66" s="69">
        <f t="shared" si="2"/>
        <v>3.9523538831960719E-2</v>
      </c>
      <c r="G66" s="69">
        <f t="shared" si="2"/>
        <v>3.8294530325541247E-2</v>
      </c>
      <c r="H66" s="69">
        <f t="shared" si="2"/>
        <v>3.8310735637967178E-2</v>
      </c>
      <c r="I66" s="69">
        <f t="shared" si="2"/>
        <v>3.8245344835927432E-2</v>
      </c>
      <c r="J66" s="69">
        <f t="shared" si="2"/>
        <v>3.864735663620332E-2</v>
      </c>
      <c r="K66" s="69">
        <f t="shared" si="2"/>
        <v>3.9209519425842186E-2</v>
      </c>
      <c r="L66" s="69">
        <f t="shared" si="2"/>
        <v>3.9034310991569267E-2</v>
      </c>
      <c r="M66" s="69">
        <f t="shared" si="2"/>
        <v>3.8346042941599837E-2</v>
      </c>
      <c r="N66" s="69">
        <f t="shared" si="2"/>
        <v>3.8659244513402011E-2</v>
      </c>
      <c r="O66" s="69">
        <f t="shared" si="2"/>
        <v>3.8977201651152996E-2</v>
      </c>
      <c r="P66" s="69">
        <f t="shared" si="2"/>
        <v>4.0698182613174878E-2</v>
      </c>
      <c r="Q66" s="69">
        <f t="shared" si="2"/>
        <v>4.2198650489777105E-2</v>
      </c>
      <c r="R66" s="69">
        <f t="shared" si="2"/>
        <v>4.4227190212626576E-2</v>
      </c>
      <c r="S66" s="69">
        <f t="shared" si="2"/>
        <v>4.4769269113567288E-2</v>
      </c>
      <c r="T66" s="69">
        <f t="shared" si="2"/>
        <v>4.1202564455697026E-2</v>
      </c>
      <c r="U66" s="69">
        <f t="shared" si="2"/>
        <v>3.8634659930609098E-2</v>
      </c>
      <c r="V66" s="69">
        <f t="shared" ref="V66:AH66" si="5">SUMIF($B$3:$B$53,$B66,V$3:V$53)/V$54</f>
        <v>3.7766937653536031E-2</v>
      </c>
      <c r="W66" s="69">
        <f t="shared" si="5"/>
        <v>3.7051651764986697E-2</v>
      </c>
      <c r="X66" s="69">
        <f t="shared" si="5"/>
        <v>3.6294274634318113E-2</v>
      </c>
      <c r="Y66" s="69">
        <f t="shared" si="5"/>
        <v>3.630877994218857E-2</v>
      </c>
      <c r="Z66" s="69">
        <f t="shared" si="5"/>
        <v>3.6910975754912256E-2</v>
      </c>
      <c r="AA66" s="69">
        <f t="shared" si="5"/>
        <v>3.6314937310070003E-2</v>
      </c>
      <c r="AB66" s="69">
        <f t="shared" si="5"/>
        <v>3.8308971619332749E-2</v>
      </c>
      <c r="AC66" s="69">
        <f t="shared" si="5"/>
        <v>3.975938604073128E-2</v>
      </c>
      <c r="AD66" s="69">
        <f t="shared" si="5"/>
        <v>3.9988380893336173E-2</v>
      </c>
      <c r="AE66" s="69">
        <f t="shared" si="5"/>
        <v>4.1543184885321618E-2</v>
      </c>
      <c r="AF66" s="69">
        <f t="shared" si="5"/>
        <v>4.0550897279805972E-2</v>
      </c>
      <c r="AG66" s="69">
        <f t="shared" si="5"/>
        <v>4.1728800819202612E-2</v>
      </c>
      <c r="AH66" s="69">
        <f t="shared" si="5"/>
        <v>4.1736961261601549E-2</v>
      </c>
    </row>
    <row r="67" spans="2:34">
      <c r="B67" t="s">
        <v>73</v>
      </c>
      <c r="C67" s="69">
        <f t="shared" si="4"/>
        <v>4.0867271729082624E-2</v>
      </c>
      <c r="D67" s="69">
        <f t="shared" si="4"/>
        <v>4.1773201348005329E-2</v>
      </c>
      <c r="E67" s="69">
        <f t="shared" si="4"/>
        <v>4.0558832629495126E-2</v>
      </c>
      <c r="F67" s="69">
        <f t="shared" si="4"/>
        <v>4.2539365319728892E-2</v>
      </c>
      <c r="G67" s="69">
        <f t="shared" si="4"/>
        <v>4.1743527575144025E-2</v>
      </c>
      <c r="H67" s="69">
        <f t="shared" si="4"/>
        <v>4.2568959465331076E-2</v>
      </c>
      <c r="I67" s="69">
        <f t="shared" si="4"/>
        <v>4.3198239265415099E-2</v>
      </c>
      <c r="J67" s="69">
        <f t="shared" si="4"/>
        <v>4.0561923288124406E-2</v>
      </c>
      <c r="K67" s="69">
        <f t="shared" si="4"/>
        <v>4.1071003642014173E-2</v>
      </c>
      <c r="L67" s="69">
        <f t="shared" si="4"/>
        <v>4.1697708559840431E-2</v>
      </c>
      <c r="M67" s="69">
        <f t="shared" si="4"/>
        <v>4.1664207357816646E-2</v>
      </c>
      <c r="N67" s="69">
        <f t="shared" si="4"/>
        <v>4.2460136357474455E-2</v>
      </c>
      <c r="O67" s="69">
        <f t="shared" si="4"/>
        <v>4.1949470283021727E-2</v>
      </c>
      <c r="P67" s="69">
        <f t="shared" si="4"/>
        <v>4.081516414756297E-2</v>
      </c>
      <c r="Q67" s="69">
        <f t="shared" si="4"/>
        <v>3.9138077317232511E-2</v>
      </c>
      <c r="R67" s="69">
        <f t="shared" si="4"/>
        <v>4.3384536453372424E-2</v>
      </c>
      <c r="S67" s="69">
        <f t="shared" ref="S67:AH80" si="6">SUMIF($B$3:$B$53,$B67,S$3:S$53)/S$54</f>
        <v>3.9086224416079174E-2</v>
      </c>
      <c r="T67" s="69">
        <f t="shared" si="6"/>
        <v>3.7159642611701377E-2</v>
      </c>
      <c r="U67" s="69">
        <f t="shared" si="6"/>
        <v>3.452191880017532E-2</v>
      </c>
      <c r="V67" s="69">
        <f t="shared" si="6"/>
        <v>3.4039012178044857E-2</v>
      </c>
      <c r="W67" s="69">
        <f t="shared" si="6"/>
        <v>3.4506695393103949E-2</v>
      </c>
      <c r="X67" s="69">
        <f t="shared" si="6"/>
        <v>3.205014970075673E-2</v>
      </c>
      <c r="Y67" s="69">
        <f t="shared" si="6"/>
        <v>3.0207136715031307E-2</v>
      </c>
      <c r="Z67" s="69">
        <f t="shared" si="6"/>
        <v>3.2558929639300689E-2</v>
      </c>
      <c r="AA67" s="69">
        <f t="shared" si="6"/>
        <v>3.1561481036186632E-2</v>
      </c>
      <c r="AB67" s="69">
        <f t="shared" si="6"/>
        <v>3.6315880313070467E-2</v>
      </c>
      <c r="AC67" s="69">
        <f t="shared" si="6"/>
        <v>3.2041655417125267E-2</v>
      </c>
      <c r="AD67" s="69">
        <f t="shared" si="6"/>
        <v>3.6131116962242756E-2</v>
      </c>
      <c r="AE67" s="69">
        <f t="shared" si="6"/>
        <v>3.0847099516432559E-2</v>
      </c>
      <c r="AF67" s="69">
        <f t="shared" si="6"/>
        <v>3.0564309143317332E-2</v>
      </c>
      <c r="AG67" s="69">
        <f t="shared" si="6"/>
        <v>3.2959002190613415E-2</v>
      </c>
      <c r="AH67" s="69">
        <f t="shared" si="6"/>
        <v>3.2756133174153594E-2</v>
      </c>
    </row>
    <row r="68" spans="2:34">
      <c r="B68" t="s">
        <v>74</v>
      </c>
      <c r="C68" s="69">
        <f t="shared" si="4"/>
        <v>1.2152726820787772E-3</v>
      </c>
      <c r="D68" s="69">
        <f t="shared" si="4"/>
        <v>1.2654378232784191E-3</v>
      </c>
      <c r="E68" s="69">
        <f t="shared" si="4"/>
        <v>1.1824846964247088E-3</v>
      </c>
      <c r="F68" s="69">
        <f t="shared" si="4"/>
        <v>1.1029562601530636E-3</v>
      </c>
      <c r="G68" s="69">
        <f t="shared" si="4"/>
        <v>1.262090997512189E-3</v>
      </c>
      <c r="H68" s="69">
        <f t="shared" si="4"/>
        <v>1.0502850536595499E-3</v>
      </c>
      <c r="I68" s="69">
        <f t="shared" si="4"/>
        <v>1.1355100399175538E-3</v>
      </c>
      <c r="J68" s="69">
        <f t="shared" si="4"/>
        <v>9.7961772557292846E-4</v>
      </c>
      <c r="K68" s="69">
        <f t="shared" si="4"/>
        <v>9.6972867206397055E-4</v>
      </c>
      <c r="L68" s="69">
        <f t="shared" si="4"/>
        <v>1.0361191622593759E-3</v>
      </c>
      <c r="M68" s="69">
        <f t="shared" si="4"/>
        <v>1.0133151425373464E-3</v>
      </c>
      <c r="N68" s="69">
        <f t="shared" si="4"/>
        <v>9.9131416968439292E-4</v>
      </c>
      <c r="O68" s="69">
        <f t="shared" si="4"/>
        <v>1.1050609629659216E-3</v>
      </c>
      <c r="P68" s="69">
        <f t="shared" si="4"/>
        <v>1.0414424556100103E-3</v>
      </c>
      <c r="Q68" s="69">
        <f t="shared" si="4"/>
        <v>1.1779054597551065E-3</v>
      </c>
      <c r="R68" s="69">
        <f t="shared" si="4"/>
        <v>1.1954704362559419E-3</v>
      </c>
      <c r="S68" s="69">
        <f t="shared" si="6"/>
        <v>1.3395960216367579E-3</v>
      </c>
      <c r="T68" s="69">
        <f t="shared" si="6"/>
        <v>1.3446329808574488E-3</v>
      </c>
      <c r="U68" s="69">
        <f t="shared" si="6"/>
        <v>1.524433192607557E-3</v>
      </c>
      <c r="V68" s="69">
        <f t="shared" si="6"/>
        <v>1.4014237611240095E-3</v>
      </c>
      <c r="W68" s="69">
        <f t="shared" si="6"/>
        <v>1.4283899738977996E-3</v>
      </c>
      <c r="X68" s="69">
        <f t="shared" si="6"/>
        <v>1.3124942707791003E-3</v>
      </c>
      <c r="Y68" s="69">
        <f t="shared" si="6"/>
        <v>1.3446009304603139E-3</v>
      </c>
      <c r="Z68" s="69">
        <f t="shared" si="6"/>
        <v>1.3905552743179322E-3</v>
      </c>
      <c r="AA68" s="69">
        <f t="shared" si="6"/>
        <v>1.2086419866250604E-3</v>
      </c>
      <c r="AB68" s="69">
        <f t="shared" si="6"/>
        <v>1.3076138301268941E-3</v>
      </c>
      <c r="AC68" s="69">
        <f t="shared" si="6"/>
        <v>1.2014667140606034E-3</v>
      </c>
      <c r="AD68" s="69">
        <f t="shared" si="6"/>
        <v>1.2059195920585953E-3</v>
      </c>
      <c r="AE68" s="69">
        <f t="shared" si="6"/>
        <v>1.1909749312299072E-3</v>
      </c>
      <c r="AF68" s="69">
        <f t="shared" si="6"/>
        <v>1.1145133812184916E-3</v>
      </c>
      <c r="AG68" s="69">
        <f t="shared" si="6"/>
        <v>1.0240271134316129E-3</v>
      </c>
      <c r="AH68" s="69">
        <f t="shared" si="6"/>
        <v>1.0523208942076177E-3</v>
      </c>
    </row>
    <row r="69" spans="2:34">
      <c r="B69" t="s">
        <v>78</v>
      </c>
      <c r="C69" s="69">
        <f t="shared" si="4"/>
        <v>1.7700909496977932E-2</v>
      </c>
      <c r="D69" s="69">
        <f t="shared" si="4"/>
        <v>1.5672426375693289E-2</v>
      </c>
      <c r="E69" s="69">
        <f t="shared" si="4"/>
        <v>1.517365348160331E-2</v>
      </c>
      <c r="F69" s="69">
        <f t="shared" si="4"/>
        <v>1.480342516172849E-2</v>
      </c>
      <c r="G69" s="69">
        <f t="shared" si="4"/>
        <v>1.512772137501815E-2</v>
      </c>
      <c r="H69" s="69">
        <f t="shared" si="4"/>
        <v>1.5792814874982117E-2</v>
      </c>
      <c r="I69" s="69">
        <f t="shared" si="4"/>
        <v>1.6220662063361025E-2</v>
      </c>
      <c r="J69" s="69">
        <f t="shared" si="4"/>
        <v>1.5651634260581172E-2</v>
      </c>
      <c r="K69" s="69">
        <f t="shared" si="4"/>
        <v>1.6000456841708057E-2</v>
      </c>
      <c r="L69" s="69">
        <f t="shared" si="4"/>
        <v>1.5614181955073277E-2</v>
      </c>
      <c r="M69" s="69">
        <f t="shared" si="4"/>
        <v>1.4961775898829197E-2</v>
      </c>
      <c r="N69" s="69">
        <f t="shared" si="4"/>
        <v>1.4904899327887494E-2</v>
      </c>
      <c r="O69" s="69">
        <f t="shared" si="4"/>
        <v>1.4574014081252765E-2</v>
      </c>
      <c r="P69" s="69">
        <f t="shared" si="4"/>
        <v>1.4539003697417575E-2</v>
      </c>
      <c r="Q69" s="69">
        <f t="shared" si="4"/>
        <v>1.5359325013055342E-2</v>
      </c>
      <c r="R69" s="69">
        <f t="shared" si="4"/>
        <v>1.4945911712784981E-2</v>
      </c>
      <c r="S69" s="69">
        <f t="shared" si="6"/>
        <v>1.510231772558893E-2</v>
      </c>
      <c r="T69" s="69">
        <f t="shared" si="6"/>
        <v>1.6030729059997317E-2</v>
      </c>
      <c r="U69" s="69">
        <f t="shared" si="6"/>
        <v>1.6869624990877862E-2</v>
      </c>
      <c r="V69" s="69">
        <f t="shared" si="6"/>
        <v>1.7264873073803096E-2</v>
      </c>
      <c r="W69" s="69">
        <f t="shared" si="6"/>
        <v>1.7568976844229367E-2</v>
      </c>
      <c r="X69" s="69">
        <f t="shared" si="6"/>
        <v>1.7580146389439853E-2</v>
      </c>
      <c r="Y69" s="69">
        <f t="shared" si="6"/>
        <v>1.7597690966082026E-2</v>
      </c>
      <c r="Z69" s="69">
        <f t="shared" si="6"/>
        <v>1.7334968524056117E-2</v>
      </c>
      <c r="AA69" s="69">
        <f t="shared" si="6"/>
        <v>1.7250773116877061E-2</v>
      </c>
      <c r="AB69" s="69">
        <f t="shared" si="6"/>
        <v>1.6570239417278143E-2</v>
      </c>
      <c r="AC69" s="69">
        <f t="shared" si="6"/>
        <v>1.6639945811955985E-2</v>
      </c>
      <c r="AD69" s="69">
        <f t="shared" si="6"/>
        <v>1.6563956117778764E-2</v>
      </c>
      <c r="AE69" s="69">
        <f t="shared" si="6"/>
        <v>1.6577832849091204E-2</v>
      </c>
      <c r="AF69" s="69">
        <f t="shared" si="6"/>
        <v>1.6739375353408113E-2</v>
      </c>
      <c r="AG69" s="69">
        <f t="shared" si="6"/>
        <v>1.8074110745929385E-2</v>
      </c>
      <c r="AH69" s="69">
        <f t="shared" si="6"/>
        <v>1.6733133946604493E-2</v>
      </c>
    </row>
    <row r="70" spans="2:34">
      <c r="B70" t="s">
        <v>75</v>
      </c>
      <c r="C70" s="69">
        <f t="shared" si="4"/>
        <v>6.0414999955949603E-3</v>
      </c>
      <c r="D70" s="69">
        <f t="shared" si="4"/>
        <v>6.1056370119376632E-3</v>
      </c>
      <c r="E70" s="69">
        <f t="shared" si="4"/>
        <v>5.9356515120124057E-3</v>
      </c>
      <c r="F70" s="69">
        <f t="shared" si="4"/>
        <v>6.9725755815156013E-3</v>
      </c>
      <c r="G70" s="69">
        <f t="shared" si="4"/>
        <v>6.3743326680435145E-3</v>
      </c>
      <c r="H70" s="69">
        <f t="shared" si="4"/>
        <v>6.4512877028962794E-3</v>
      </c>
      <c r="I70" s="69">
        <f t="shared" si="4"/>
        <v>6.9593389395666838E-3</v>
      </c>
      <c r="J70" s="69">
        <f t="shared" si="4"/>
        <v>7.5157551073396691E-3</v>
      </c>
      <c r="K70" s="69">
        <f t="shared" si="4"/>
        <v>6.1517618084571896E-3</v>
      </c>
      <c r="L70" s="69">
        <f t="shared" si="4"/>
        <v>6.76139756150181E-3</v>
      </c>
      <c r="M70" s="69">
        <f t="shared" si="4"/>
        <v>6.4800216535028481E-3</v>
      </c>
      <c r="N70" s="69">
        <f t="shared" si="4"/>
        <v>6.5666508845654437E-3</v>
      </c>
      <c r="O70" s="69">
        <f t="shared" si="4"/>
        <v>6.4468742998833916E-3</v>
      </c>
      <c r="P70" s="69">
        <f t="shared" si="4"/>
        <v>6.5350009858776469E-3</v>
      </c>
      <c r="Q70" s="69">
        <f t="shared" si="4"/>
        <v>6.4097867238864584E-3</v>
      </c>
      <c r="R70" s="69">
        <f t="shared" si="4"/>
        <v>6.4318539024467384E-3</v>
      </c>
      <c r="S70" s="69">
        <f t="shared" si="6"/>
        <v>6.5856944762826778E-3</v>
      </c>
      <c r="T70" s="69">
        <f t="shared" si="6"/>
        <v>6.8000802351701568E-3</v>
      </c>
      <c r="U70" s="69">
        <f t="shared" si="6"/>
        <v>6.3724595711757608E-3</v>
      </c>
      <c r="V70" s="69">
        <f t="shared" si="6"/>
        <v>6.7872267557897515E-3</v>
      </c>
      <c r="W70" s="69">
        <f t="shared" si="6"/>
        <v>6.9966885905139451E-3</v>
      </c>
      <c r="X70" s="69">
        <f t="shared" si="6"/>
        <v>6.9019254647351954E-3</v>
      </c>
      <c r="Y70" s="69">
        <f t="shared" si="6"/>
        <v>6.913337168107569E-3</v>
      </c>
      <c r="Z70" s="69">
        <f t="shared" si="6"/>
        <v>6.86735777680116E-3</v>
      </c>
      <c r="AA70" s="69">
        <f t="shared" si="6"/>
        <v>6.6944200709310375E-3</v>
      </c>
      <c r="AB70" s="69">
        <f t="shared" si="6"/>
        <v>7.0656000120496339E-3</v>
      </c>
      <c r="AC70" s="69">
        <f t="shared" si="6"/>
        <v>7.3027640832408203E-3</v>
      </c>
      <c r="AD70" s="69">
        <f t="shared" si="6"/>
        <v>7.1669602275371653E-3</v>
      </c>
      <c r="AE70" s="69">
        <f t="shared" si="6"/>
        <v>7.3408165255478509E-3</v>
      </c>
      <c r="AF70" s="69">
        <f t="shared" si="6"/>
        <v>7.4451233300399421E-3</v>
      </c>
      <c r="AG70" s="69">
        <f t="shared" si="6"/>
        <v>8.2081230597236664E-3</v>
      </c>
      <c r="AH70" s="69">
        <f t="shared" si="6"/>
        <v>8.2340510979888384E-3</v>
      </c>
    </row>
    <row r="71" spans="2:34">
      <c r="B71" t="s">
        <v>76</v>
      </c>
      <c r="C71" s="69">
        <f t="shared" si="4"/>
        <v>4.5212949271046042E-2</v>
      </c>
      <c r="D71" s="69">
        <f t="shared" si="4"/>
        <v>4.2922850956693466E-2</v>
      </c>
      <c r="E71" s="69">
        <f t="shared" si="4"/>
        <v>4.1919885657855226E-2</v>
      </c>
      <c r="F71" s="69">
        <f t="shared" si="4"/>
        <v>4.2907469501392397E-2</v>
      </c>
      <c r="G71" s="69">
        <f t="shared" si="4"/>
        <v>3.6429993699283673E-2</v>
      </c>
      <c r="H71" s="69">
        <f t="shared" si="4"/>
        <v>4.2896923136037844E-2</v>
      </c>
      <c r="I71" s="69">
        <f t="shared" si="4"/>
        <v>4.194866644855566E-2</v>
      </c>
      <c r="J71" s="69">
        <f t="shared" si="4"/>
        <v>4.9982413148698217E-2</v>
      </c>
      <c r="K71" s="69">
        <f t="shared" si="4"/>
        <v>3.5881981410464323E-2</v>
      </c>
      <c r="L71" s="69">
        <f t="shared" si="4"/>
        <v>4.0668358755405927E-2</v>
      </c>
      <c r="M71" s="69">
        <f t="shared" si="4"/>
        <v>3.8384722751452167E-2</v>
      </c>
      <c r="N71" s="69">
        <f t="shared" si="4"/>
        <v>3.7404389134525332E-2</v>
      </c>
      <c r="O71" s="69">
        <f t="shared" si="4"/>
        <v>3.9475570371368521E-2</v>
      </c>
      <c r="P71" s="69">
        <f t="shared" si="4"/>
        <v>3.9969334816235727E-2</v>
      </c>
      <c r="Q71" s="69">
        <f t="shared" si="4"/>
        <v>3.7517145551716327E-2</v>
      </c>
      <c r="R71" s="69">
        <f t="shared" si="4"/>
        <v>3.8412528988355517E-2</v>
      </c>
      <c r="S71" s="69">
        <f t="shared" si="6"/>
        <v>3.830279394436753E-2</v>
      </c>
      <c r="T71" s="69">
        <f t="shared" si="6"/>
        <v>3.8217577803584035E-2</v>
      </c>
      <c r="U71" s="69">
        <f t="shared" si="6"/>
        <v>3.8143480906443518E-2</v>
      </c>
      <c r="V71" s="69">
        <f t="shared" si="6"/>
        <v>3.9667446714093738E-2</v>
      </c>
      <c r="W71" s="69">
        <f t="shared" si="6"/>
        <v>3.8277459335905616E-2</v>
      </c>
      <c r="X71" s="69">
        <f t="shared" si="6"/>
        <v>4.0065025694340464E-2</v>
      </c>
      <c r="Y71" s="69">
        <f t="shared" si="6"/>
        <v>3.809275100598486E-2</v>
      </c>
      <c r="Z71" s="69">
        <f t="shared" si="6"/>
        <v>3.884314124014189E-2</v>
      </c>
      <c r="AA71" s="69">
        <f t="shared" si="6"/>
        <v>3.8059656690879462E-2</v>
      </c>
      <c r="AB71" s="69">
        <f t="shared" si="6"/>
        <v>4.1406778376899593E-2</v>
      </c>
      <c r="AC71" s="69">
        <f t="shared" si="6"/>
        <v>3.7747566061173958E-2</v>
      </c>
      <c r="AD71" s="69">
        <f t="shared" si="6"/>
        <v>3.7912270961618942E-2</v>
      </c>
      <c r="AE71" s="69">
        <f t="shared" si="6"/>
        <v>3.7075035151645848E-2</v>
      </c>
      <c r="AF71" s="69">
        <f t="shared" si="6"/>
        <v>3.4638320918836958E-2</v>
      </c>
      <c r="AG71" s="69">
        <f t="shared" si="6"/>
        <v>3.5156364392539989E-2</v>
      </c>
      <c r="AH71" s="69">
        <f t="shared" si="6"/>
        <v>3.4205216660747217E-2</v>
      </c>
    </row>
    <row r="72" spans="2:34">
      <c r="B72" t="s">
        <v>77</v>
      </c>
      <c r="C72" s="69">
        <f t="shared" si="4"/>
        <v>3.3200194349403689E-2</v>
      </c>
      <c r="D72" s="69">
        <f t="shared" si="4"/>
        <v>3.5420249232800169E-2</v>
      </c>
      <c r="E72" s="69">
        <f t="shared" si="4"/>
        <v>3.4715180544311691E-2</v>
      </c>
      <c r="F72" s="69">
        <f t="shared" si="4"/>
        <v>3.6259851290148998E-2</v>
      </c>
      <c r="G72" s="69">
        <f t="shared" si="4"/>
        <v>3.6779472583417315E-2</v>
      </c>
      <c r="H72" s="69">
        <f t="shared" si="4"/>
        <v>3.5417977774098545E-2</v>
      </c>
      <c r="I72" s="69">
        <f t="shared" si="4"/>
        <v>3.4668272823729709E-2</v>
      </c>
      <c r="J72" s="69">
        <f t="shared" si="4"/>
        <v>3.4620564746301805E-2</v>
      </c>
      <c r="K72" s="69">
        <f t="shared" si="4"/>
        <v>3.2848846607181847E-2</v>
      </c>
      <c r="L72" s="69">
        <f t="shared" si="4"/>
        <v>2.908767985650967E-2</v>
      </c>
      <c r="M72" s="69">
        <f t="shared" si="4"/>
        <v>3.8260144401827074E-2</v>
      </c>
      <c r="N72" s="69">
        <f t="shared" si="4"/>
        <v>2.938926565154697E-2</v>
      </c>
      <c r="O72" s="69">
        <f t="shared" si="4"/>
        <v>3.9117300457043598E-2</v>
      </c>
      <c r="P72" s="69">
        <f t="shared" si="4"/>
        <v>3.2997996684121761E-2</v>
      </c>
      <c r="Q72" s="69">
        <f t="shared" si="4"/>
        <v>3.3462902041553777E-2</v>
      </c>
      <c r="R72" s="69">
        <f t="shared" si="4"/>
        <v>3.4004250930870714E-2</v>
      </c>
      <c r="S72" s="69">
        <f t="shared" si="6"/>
        <v>3.3890357694584927E-2</v>
      </c>
      <c r="T72" s="69">
        <f t="shared" si="6"/>
        <v>3.3925766089077568E-2</v>
      </c>
      <c r="U72" s="69">
        <f t="shared" si="6"/>
        <v>3.3915570214009393E-2</v>
      </c>
      <c r="V72" s="69">
        <f t="shared" si="6"/>
        <v>3.1837910436879203E-2</v>
      </c>
      <c r="W72" s="69">
        <f t="shared" si="6"/>
        <v>3.3340383305507544E-2</v>
      </c>
      <c r="X72" s="69">
        <f t="shared" si="6"/>
        <v>3.3291295834900536E-2</v>
      </c>
      <c r="Y72" s="69">
        <f t="shared" si="6"/>
        <v>3.3708814723812923E-2</v>
      </c>
      <c r="Z72" s="69">
        <f t="shared" si="6"/>
        <v>3.2326740205054168E-2</v>
      </c>
      <c r="AA72" s="69">
        <f t="shared" si="6"/>
        <v>3.2475995628783429E-2</v>
      </c>
      <c r="AB72" s="69">
        <f t="shared" si="6"/>
        <v>3.1581617630702052E-2</v>
      </c>
      <c r="AC72" s="69">
        <f t="shared" si="6"/>
        <v>3.0610131909770515E-2</v>
      </c>
      <c r="AD72" s="69">
        <f t="shared" si="6"/>
        <v>2.9503799480235127E-2</v>
      </c>
      <c r="AE72" s="69">
        <f t="shared" si="6"/>
        <v>2.891405630708601E-2</v>
      </c>
      <c r="AF72" s="69">
        <f t="shared" si="6"/>
        <v>2.8568466848326823E-2</v>
      </c>
      <c r="AG72" s="69">
        <f t="shared" si="6"/>
        <v>2.9044061711101351E-2</v>
      </c>
      <c r="AH72" s="69">
        <f t="shared" si="6"/>
        <v>2.969321972268767E-2</v>
      </c>
    </row>
    <row r="73" spans="2:34">
      <c r="B73" t="s">
        <v>79</v>
      </c>
      <c r="C73" s="69">
        <f t="shared" si="4"/>
        <v>1.4796598593336593E-2</v>
      </c>
      <c r="D73" s="69">
        <f t="shared" si="4"/>
        <v>1.354881918781662E-2</v>
      </c>
      <c r="E73" s="69">
        <f t="shared" si="4"/>
        <v>1.2114261827813215E-2</v>
      </c>
      <c r="F73" s="69">
        <f t="shared" si="4"/>
        <v>1.3620871935177723E-2</v>
      </c>
      <c r="G73" s="69">
        <f t="shared" si="4"/>
        <v>1.1940316543122781E-2</v>
      </c>
      <c r="H73" s="69">
        <f t="shared" si="4"/>
        <v>1.3197265740739433E-2</v>
      </c>
      <c r="I73" s="69">
        <f t="shared" si="4"/>
        <v>1.3083346606293659E-2</v>
      </c>
      <c r="J73" s="69">
        <f t="shared" si="4"/>
        <v>1.2961028020605074E-2</v>
      </c>
      <c r="K73" s="69">
        <f t="shared" si="4"/>
        <v>1.2395640553552236E-2</v>
      </c>
      <c r="L73" s="69">
        <f t="shared" si="4"/>
        <v>1.1917141054487939E-2</v>
      </c>
      <c r="M73" s="69">
        <f t="shared" si="4"/>
        <v>1.0834781004863708E-2</v>
      </c>
      <c r="N73" s="69">
        <f t="shared" si="4"/>
        <v>1.1031535899165111E-2</v>
      </c>
      <c r="O73" s="69">
        <f t="shared" si="4"/>
        <v>1.1708286105341477E-2</v>
      </c>
      <c r="P73" s="69">
        <f t="shared" si="4"/>
        <v>1.1502284648230304E-2</v>
      </c>
      <c r="Q73" s="69">
        <f t="shared" si="4"/>
        <v>1.1104195080847281E-2</v>
      </c>
      <c r="R73" s="69">
        <f t="shared" si="4"/>
        <v>1.0813029584569421E-2</v>
      </c>
      <c r="S73" s="69">
        <f t="shared" si="6"/>
        <v>1.0843070803024589E-2</v>
      </c>
      <c r="T73" s="69">
        <f t="shared" si="6"/>
        <v>1.1769688381594782E-2</v>
      </c>
      <c r="U73" s="69">
        <f t="shared" si="6"/>
        <v>1.2449943842523964E-2</v>
      </c>
      <c r="V73" s="69">
        <f t="shared" si="6"/>
        <v>1.25191621341132E-2</v>
      </c>
      <c r="W73" s="69">
        <f t="shared" si="6"/>
        <v>1.3003174732356444E-2</v>
      </c>
      <c r="X73" s="69">
        <f t="shared" si="6"/>
        <v>1.2600873385014318E-2</v>
      </c>
      <c r="Y73" s="69">
        <f t="shared" si="6"/>
        <v>1.2702454149063791E-2</v>
      </c>
      <c r="Z73" s="69">
        <f t="shared" si="6"/>
        <v>1.2723902774552924E-2</v>
      </c>
      <c r="AA73" s="69">
        <f t="shared" si="6"/>
        <v>1.2575683662361494E-2</v>
      </c>
      <c r="AB73" s="69">
        <f t="shared" si="6"/>
        <v>1.266295625927015E-2</v>
      </c>
      <c r="AC73" s="69">
        <f t="shared" si="6"/>
        <v>1.1280122284275402E-2</v>
      </c>
      <c r="AD73" s="69">
        <f t="shared" si="6"/>
        <v>1.0116894693627889E-2</v>
      </c>
      <c r="AE73" s="69">
        <f t="shared" si="6"/>
        <v>1.1178011180529591E-2</v>
      </c>
      <c r="AF73" s="69">
        <f t="shared" si="6"/>
        <v>1.1444526093665206E-2</v>
      </c>
      <c r="AG73" s="69">
        <f t="shared" si="6"/>
        <v>1.2169446546981813E-2</v>
      </c>
      <c r="AH73" s="69">
        <f t="shared" si="6"/>
        <v>1.1663519935219474E-2</v>
      </c>
    </row>
    <row r="74" spans="2:34">
      <c r="B74" t="s">
        <v>80</v>
      </c>
      <c r="C74" s="69">
        <f t="shared" si="4"/>
        <v>2.3068838896113102E-2</v>
      </c>
      <c r="D74" s="69">
        <f t="shared" si="4"/>
        <v>2.0279983748003005E-2</v>
      </c>
      <c r="E74" s="69">
        <f t="shared" si="4"/>
        <v>2.4597616594214076E-2</v>
      </c>
      <c r="F74" s="69">
        <f t="shared" si="4"/>
        <v>2.6492820336677367E-2</v>
      </c>
      <c r="G74" s="69">
        <f t="shared" si="4"/>
        <v>2.3475305950040975E-2</v>
      </c>
      <c r="H74" s="69">
        <f t="shared" si="4"/>
        <v>2.2212012124467766E-2</v>
      </c>
      <c r="I74" s="69">
        <f t="shared" si="4"/>
        <v>2.2037053687044287E-2</v>
      </c>
      <c r="J74" s="69">
        <f t="shared" si="4"/>
        <v>2.3291529846497527E-2</v>
      </c>
      <c r="K74" s="69">
        <f t="shared" si="4"/>
        <v>2.342519455521001E-2</v>
      </c>
      <c r="L74" s="69">
        <f t="shared" si="4"/>
        <v>2.2054943868860991E-2</v>
      </c>
      <c r="M74" s="69">
        <f t="shared" si="4"/>
        <v>2.485565779555764E-2</v>
      </c>
      <c r="N74" s="69">
        <f t="shared" si="4"/>
        <v>2.4411474835411128E-2</v>
      </c>
      <c r="O74" s="69">
        <f t="shared" si="4"/>
        <v>2.6279453351252868E-2</v>
      </c>
      <c r="P74" s="69">
        <f t="shared" si="4"/>
        <v>2.2428496315436759E-2</v>
      </c>
      <c r="Q74" s="69">
        <f t="shared" si="4"/>
        <v>2.2944607844620137E-2</v>
      </c>
      <c r="R74" s="69">
        <f t="shared" si="4"/>
        <v>2.2174064085305187E-2</v>
      </c>
      <c r="S74" s="69">
        <f t="shared" si="6"/>
        <v>2.2170326628727158E-2</v>
      </c>
      <c r="T74" s="69">
        <f t="shared" si="6"/>
        <v>2.1478869725657455E-2</v>
      </c>
      <c r="U74" s="69">
        <f t="shared" si="6"/>
        <v>2.1237182334060252E-2</v>
      </c>
      <c r="V74" s="69">
        <f t="shared" si="6"/>
        <v>2.1072532506095226E-2</v>
      </c>
      <c r="W74" s="69">
        <f t="shared" si="6"/>
        <v>2.1423244695091642E-2</v>
      </c>
      <c r="X74" s="69">
        <f t="shared" si="6"/>
        <v>2.0794725241639403E-2</v>
      </c>
      <c r="Y74" s="69">
        <f t="shared" si="6"/>
        <v>2.0516767070135628E-2</v>
      </c>
      <c r="Z74" s="69">
        <f t="shared" si="6"/>
        <v>1.9345330091633344E-2</v>
      </c>
      <c r="AA74" s="69">
        <f t="shared" si="6"/>
        <v>2.0192575882097625E-2</v>
      </c>
      <c r="AB74" s="69">
        <f t="shared" si="6"/>
        <v>1.9016688712425657E-2</v>
      </c>
      <c r="AC74" s="69">
        <f t="shared" si="6"/>
        <v>1.8829384411333337E-2</v>
      </c>
      <c r="AD74" s="69">
        <f t="shared" si="6"/>
        <v>1.8965736788781939E-2</v>
      </c>
      <c r="AE74" s="69">
        <f t="shared" si="6"/>
        <v>1.9254483365129818E-2</v>
      </c>
      <c r="AF74" s="69">
        <f t="shared" si="6"/>
        <v>1.8480426848243039E-2</v>
      </c>
      <c r="AG74" s="69">
        <f t="shared" si="6"/>
        <v>1.8613202917193095E-2</v>
      </c>
      <c r="AH74" s="69">
        <f t="shared" si="6"/>
        <v>1.8996330399349663E-2</v>
      </c>
    </row>
    <row r="75" spans="2:34">
      <c r="B75" t="s">
        <v>81</v>
      </c>
      <c r="C75" s="69">
        <f t="shared" si="4"/>
        <v>1.7648331698443334E-2</v>
      </c>
      <c r="D75" s="69">
        <f t="shared" si="4"/>
        <v>1.7963493055854859E-2</v>
      </c>
      <c r="E75" s="69">
        <f t="shared" si="4"/>
        <v>1.6042171880119634E-2</v>
      </c>
      <c r="F75" s="69">
        <f t="shared" si="4"/>
        <v>1.7363158489003751E-2</v>
      </c>
      <c r="G75" s="69">
        <f t="shared" si="4"/>
        <v>1.7758074673445732E-2</v>
      </c>
      <c r="H75" s="69">
        <f t="shared" si="4"/>
        <v>1.8503904904501139E-2</v>
      </c>
      <c r="I75" s="69">
        <f t="shared" si="4"/>
        <v>1.8837552293806861E-2</v>
      </c>
      <c r="J75" s="69">
        <f t="shared" si="4"/>
        <v>1.7988530290702028E-2</v>
      </c>
      <c r="K75" s="69">
        <f t="shared" si="4"/>
        <v>1.8034382903308551E-2</v>
      </c>
      <c r="L75" s="69">
        <f t="shared" si="4"/>
        <v>1.8441705110977979E-2</v>
      </c>
      <c r="M75" s="69">
        <f t="shared" si="4"/>
        <v>1.7442317198050155E-2</v>
      </c>
      <c r="N75" s="69">
        <f t="shared" si="4"/>
        <v>1.8048991210827241E-2</v>
      </c>
      <c r="O75" s="69">
        <f t="shared" si="4"/>
        <v>1.6922250655110011E-2</v>
      </c>
      <c r="P75" s="69">
        <f t="shared" si="4"/>
        <v>1.813835904337285E-2</v>
      </c>
      <c r="Q75" s="69">
        <f t="shared" si="4"/>
        <v>1.7729351109818509E-2</v>
      </c>
      <c r="R75" s="69">
        <f t="shared" si="4"/>
        <v>1.7618180355211403E-2</v>
      </c>
      <c r="S75" s="69">
        <f t="shared" si="6"/>
        <v>1.9575810223015678E-2</v>
      </c>
      <c r="T75" s="69">
        <f t="shared" si="6"/>
        <v>1.7339368510177013E-2</v>
      </c>
      <c r="U75" s="69">
        <f t="shared" si="6"/>
        <v>1.8044608656594512E-2</v>
      </c>
      <c r="V75" s="69">
        <f t="shared" si="6"/>
        <v>1.9838502778832486E-2</v>
      </c>
      <c r="W75" s="69">
        <f t="shared" si="6"/>
        <v>2.0131121059445325E-2</v>
      </c>
      <c r="X75" s="69">
        <f t="shared" si="6"/>
        <v>2.0346810919986497E-2</v>
      </c>
      <c r="Y75" s="69">
        <f t="shared" si="6"/>
        <v>1.8041868280199443E-2</v>
      </c>
      <c r="Z75" s="69">
        <f t="shared" si="6"/>
        <v>1.7732180634253924E-2</v>
      </c>
      <c r="AA75" s="69">
        <f t="shared" si="6"/>
        <v>1.6993310918542729E-2</v>
      </c>
      <c r="AB75" s="69">
        <f t="shared" si="6"/>
        <v>1.7882776770307786E-2</v>
      </c>
      <c r="AC75" s="69">
        <f t="shared" si="6"/>
        <v>1.6827342267990115E-2</v>
      </c>
      <c r="AD75" s="69">
        <f t="shared" si="6"/>
        <v>1.6195143970264878E-2</v>
      </c>
      <c r="AE75" s="69">
        <f t="shared" si="6"/>
        <v>1.5580962067282877E-2</v>
      </c>
      <c r="AF75" s="69">
        <f t="shared" si="6"/>
        <v>1.7242308851347248E-2</v>
      </c>
      <c r="AG75" s="69">
        <f t="shared" si="6"/>
        <v>1.6074919646506633E-2</v>
      </c>
      <c r="AH75" s="69">
        <f t="shared" si="6"/>
        <v>1.7355278566724214E-2</v>
      </c>
    </row>
    <row r="76" spans="2:34">
      <c r="B76" t="s">
        <v>85</v>
      </c>
      <c r="C76" s="69">
        <f t="shared" si="4"/>
        <v>1.2599732333777244E-2</v>
      </c>
      <c r="D76" s="69">
        <f t="shared" si="4"/>
        <v>1.1950786861064312E-2</v>
      </c>
      <c r="E76" s="69">
        <f t="shared" si="4"/>
        <v>1.1605891979165051E-2</v>
      </c>
      <c r="F76" s="69">
        <f t="shared" si="4"/>
        <v>1.1503245081009198E-2</v>
      </c>
      <c r="G76" s="69">
        <f t="shared" si="4"/>
        <v>1.1835417228378846E-2</v>
      </c>
      <c r="H76" s="69">
        <f t="shared" si="4"/>
        <v>1.2095925958585916E-2</v>
      </c>
      <c r="I76" s="69">
        <f t="shared" si="4"/>
        <v>1.162825460903087E-2</v>
      </c>
      <c r="J76" s="69">
        <f t="shared" si="4"/>
        <v>1.1749391094184521E-2</v>
      </c>
      <c r="K76" s="69">
        <f t="shared" si="4"/>
        <v>1.1864833682059371E-2</v>
      </c>
      <c r="L76" s="69">
        <f t="shared" si="4"/>
        <v>1.1848256570695976E-2</v>
      </c>
      <c r="M76" s="69">
        <f t="shared" si="4"/>
        <v>1.2226894626071103E-2</v>
      </c>
      <c r="N76" s="69">
        <f t="shared" si="4"/>
        <v>1.203384968488198E-2</v>
      </c>
      <c r="O76" s="69">
        <f t="shared" si="4"/>
        <v>1.1465586203511288E-2</v>
      </c>
      <c r="P76" s="69">
        <f t="shared" si="4"/>
        <v>1.1772268257464028E-2</v>
      </c>
      <c r="Q76" s="69">
        <f t="shared" si="4"/>
        <v>1.1378406117762543E-2</v>
      </c>
      <c r="R76" s="69">
        <f t="shared" si="4"/>
        <v>1.0806509673515326E-2</v>
      </c>
      <c r="S76" s="69">
        <f t="shared" si="6"/>
        <v>9.878990657421401E-3</v>
      </c>
      <c r="T76" s="69">
        <f t="shared" si="6"/>
        <v>9.9305611727339583E-3</v>
      </c>
      <c r="U76" s="69">
        <f t="shared" si="6"/>
        <v>9.8387129176427217E-3</v>
      </c>
      <c r="V76" s="69">
        <f t="shared" si="6"/>
        <v>1.1420969126911682E-2</v>
      </c>
      <c r="W76" s="69">
        <f t="shared" si="6"/>
        <v>1.0861964995785537E-2</v>
      </c>
      <c r="X76" s="69">
        <f t="shared" si="6"/>
        <v>1.115198919949933E-2</v>
      </c>
      <c r="Y76" s="69">
        <f t="shared" si="6"/>
        <v>1.1312924617824859E-2</v>
      </c>
      <c r="Z76" s="69">
        <f t="shared" si="6"/>
        <v>1.3133135022784159E-2</v>
      </c>
      <c r="AA76" s="69">
        <f t="shared" si="6"/>
        <v>1.0500952338166726E-2</v>
      </c>
      <c r="AB76" s="69">
        <f t="shared" si="6"/>
        <v>1.0884235140193609E-2</v>
      </c>
      <c r="AC76" s="69">
        <f t="shared" si="6"/>
        <v>1.0894223681692369E-2</v>
      </c>
      <c r="AD76" s="69">
        <f t="shared" si="6"/>
        <v>1.0269554318069271E-2</v>
      </c>
      <c r="AE76" s="69">
        <f t="shared" si="6"/>
        <v>1.0230505906208708E-2</v>
      </c>
      <c r="AF76" s="69">
        <f t="shared" si="6"/>
        <v>1.0306129632349921E-2</v>
      </c>
      <c r="AG76" s="69">
        <f t="shared" si="6"/>
        <v>9.5267120814738395E-3</v>
      </c>
      <c r="AH76" s="69">
        <f t="shared" si="6"/>
        <v>9.9047351830832044E-3</v>
      </c>
    </row>
    <row r="77" spans="2:34">
      <c r="B77" t="s">
        <v>83</v>
      </c>
      <c r="C77" s="69">
        <f t="shared" si="4"/>
        <v>1.6712249011092171E-2</v>
      </c>
      <c r="D77" s="69">
        <f t="shared" si="4"/>
        <v>1.6029331077295293E-2</v>
      </c>
      <c r="E77" s="69">
        <f t="shared" si="4"/>
        <v>1.5746824513831401E-2</v>
      </c>
      <c r="F77" s="69">
        <f t="shared" si="4"/>
        <v>1.4552046243887817E-2</v>
      </c>
      <c r="G77" s="69">
        <f t="shared" si="4"/>
        <v>1.2360152299972131E-2</v>
      </c>
      <c r="H77" s="69">
        <f t="shared" si="4"/>
        <v>1.2438236847464383E-2</v>
      </c>
      <c r="I77" s="69">
        <f t="shared" si="4"/>
        <v>1.3168580734318338E-2</v>
      </c>
      <c r="J77" s="69">
        <f t="shared" si="4"/>
        <v>1.4222368767031255E-2</v>
      </c>
      <c r="K77" s="69">
        <f t="shared" si="4"/>
        <v>1.4175243048268346E-2</v>
      </c>
      <c r="L77" s="69">
        <f t="shared" si="4"/>
        <v>1.531705102202887E-2</v>
      </c>
      <c r="M77" s="69">
        <f t="shared" si="4"/>
        <v>1.5017773237802092E-2</v>
      </c>
      <c r="N77" s="69">
        <f t="shared" si="4"/>
        <v>1.5040431381562863E-2</v>
      </c>
      <c r="O77" s="69">
        <f t="shared" si="4"/>
        <v>1.4494992833595257E-2</v>
      </c>
      <c r="P77" s="69">
        <f t="shared" si="4"/>
        <v>1.4542185322442214E-2</v>
      </c>
      <c r="Q77" s="69">
        <f t="shared" si="4"/>
        <v>1.4485319161917053E-2</v>
      </c>
      <c r="R77" s="69">
        <f t="shared" si="4"/>
        <v>1.4464691140435483E-2</v>
      </c>
      <c r="S77" s="69">
        <f t="shared" si="6"/>
        <v>1.4040068711224575E-2</v>
      </c>
      <c r="T77" s="69">
        <f t="shared" si="6"/>
        <v>1.4147026756605051E-2</v>
      </c>
      <c r="U77" s="69">
        <f t="shared" si="6"/>
        <v>1.3819559463007582E-2</v>
      </c>
      <c r="V77" s="69">
        <f t="shared" si="6"/>
        <v>1.4729136665650889E-2</v>
      </c>
      <c r="W77" s="69">
        <f t="shared" si="6"/>
        <v>1.4300477446733465E-2</v>
      </c>
      <c r="X77" s="69">
        <f t="shared" si="6"/>
        <v>1.3637620765821831E-2</v>
      </c>
      <c r="Y77" s="69">
        <f t="shared" si="6"/>
        <v>1.3620476431979842E-2</v>
      </c>
      <c r="Z77" s="69">
        <f t="shared" si="6"/>
        <v>1.271847937170921E-2</v>
      </c>
      <c r="AA77" s="69">
        <f t="shared" si="6"/>
        <v>1.309763387606217E-2</v>
      </c>
      <c r="AB77" s="69">
        <f t="shared" si="6"/>
        <v>1.3198241669257146E-2</v>
      </c>
      <c r="AC77" s="69">
        <f t="shared" si="6"/>
        <v>1.2958071407030872E-2</v>
      </c>
      <c r="AD77" s="69">
        <f t="shared" si="6"/>
        <v>1.2480668721838948E-2</v>
      </c>
      <c r="AE77" s="69">
        <f t="shared" si="6"/>
        <v>1.2186844411719619E-2</v>
      </c>
      <c r="AF77" s="69">
        <f t="shared" si="6"/>
        <v>1.2538913027976582E-2</v>
      </c>
      <c r="AG77" s="69">
        <f t="shared" si="6"/>
        <v>1.2003660084333609E-2</v>
      </c>
      <c r="AH77" s="69">
        <f t="shared" si="6"/>
        <v>1.2197342752084834E-2</v>
      </c>
    </row>
    <row r="78" spans="2:34">
      <c r="B78" t="s">
        <v>82</v>
      </c>
      <c r="C78" s="69">
        <f t="shared" si="4"/>
        <v>5.2473679417426684E-3</v>
      </c>
      <c r="D78" s="69">
        <f t="shared" si="4"/>
        <v>5.1692101171102629E-3</v>
      </c>
      <c r="E78" s="69">
        <f t="shared" si="4"/>
        <v>5.2178186826375723E-3</v>
      </c>
      <c r="F78" s="69">
        <f t="shared" si="4"/>
        <v>4.8958491919763548E-3</v>
      </c>
      <c r="G78" s="69">
        <f t="shared" si="4"/>
        <v>5.1483740983836327E-3</v>
      </c>
      <c r="H78" s="69">
        <f t="shared" si="4"/>
        <v>4.9880240793636213E-3</v>
      </c>
      <c r="I78" s="69">
        <f t="shared" si="4"/>
        <v>5.0145280926899606E-3</v>
      </c>
      <c r="J78" s="69">
        <f t="shared" si="4"/>
        <v>4.7383287793044586E-3</v>
      </c>
      <c r="K78" s="69">
        <f t="shared" si="4"/>
        <v>4.5071382841831015E-3</v>
      </c>
      <c r="L78" s="69">
        <f t="shared" si="4"/>
        <v>4.6843642751904415E-3</v>
      </c>
      <c r="M78" s="69">
        <f t="shared" si="4"/>
        <v>4.9794188057460404E-3</v>
      </c>
      <c r="N78" s="69">
        <f t="shared" si="4"/>
        <v>4.7348101971296033E-3</v>
      </c>
      <c r="O78" s="69">
        <f t="shared" si="4"/>
        <v>4.8422081124627637E-3</v>
      </c>
      <c r="P78" s="69">
        <f t="shared" si="4"/>
        <v>5.7620933638204974E-3</v>
      </c>
      <c r="Q78" s="69">
        <f t="shared" si="4"/>
        <v>4.6943548158035614E-3</v>
      </c>
      <c r="R78" s="69">
        <f t="shared" si="4"/>
        <v>4.7648788397258333E-3</v>
      </c>
      <c r="S78" s="69">
        <f t="shared" si="6"/>
        <v>4.6995851791645452E-3</v>
      </c>
      <c r="T78" s="69">
        <f t="shared" si="6"/>
        <v>4.6828368011882374E-3</v>
      </c>
      <c r="U78" s="69">
        <f t="shared" si="6"/>
        <v>4.9608155814386996E-3</v>
      </c>
      <c r="V78" s="69">
        <f t="shared" si="6"/>
        <v>5.6213118854368371E-3</v>
      </c>
      <c r="W78" s="69">
        <f t="shared" si="6"/>
        <v>5.0729097974355391E-3</v>
      </c>
      <c r="X78" s="69">
        <f t="shared" si="6"/>
        <v>5.1134590276465655E-3</v>
      </c>
      <c r="Y78" s="69">
        <f t="shared" si="6"/>
        <v>5.0668752130821598E-3</v>
      </c>
      <c r="Z78" s="69">
        <f t="shared" si="6"/>
        <v>5.2480026950140288E-3</v>
      </c>
      <c r="AA78" s="69">
        <f t="shared" si="6"/>
        <v>4.5565319398678701E-3</v>
      </c>
      <c r="AB78" s="69">
        <f t="shared" si="6"/>
        <v>4.7368229142778486E-3</v>
      </c>
      <c r="AC78" s="69">
        <f t="shared" si="6"/>
        <v>4.6704740031840017E-3</v>
      </c>
      <c r="AD78" s="69">
        <f t="shared" si="6"/>
        <v>5.5978321817508137E-3</v>
      </c>
      <c r="AE78" s="69">
        <f t="shared" si="6"/>
        <v>4.2000556195599713E-3</v>
      </c>
      <c r="AF78" s="69">
        <f t="shared" si="6"/>
        <v>4.1007863247987785E-3</v>
      </c>
      <c r="AG78" s="69">
        <f t="shared" si="6"/>
        <v>4.2997644363236423E-3</v>
      </c>
      <c r="AH78" s="69">
        <f t="shared" si="6"/>
        <v>3.8136930063704701E-3</v>
      </c>
    </row>
    <row r="79" spans="2:34">
      <c r="B79" t="s">
        <v>86</v>
      </c>
      <c r="C79" s="69">
        <f t="shared" si="4"/>
        <v>2.5184011694508481E-2</v>
      </c>
      <c r="D79" s="69">
        <f t="shared" si="4"/>
        <v>2.6063002154503415E-2</v>
      </c>
      <c r="E79" s="69">
        <f t="shared" si="4"/>
        <v>2.6018450996158477E-2</v>
      </c>
      <c r="F79" s="69">
        <f t="shared" si="4"/>
        <v>3.0700270205846741E-2</v>
      </c>
      <c r="G79" s="69">
        <f t="shared" si="4"/>
        <v>2.9077740250137363E-2</v>
      </c>
      <c r="H79" s="69">
        <f t="shared" si="4"/>
        <v>2.8338350598773137E-2</v>
      </c>
      <c r="I79" s="69">
        <f t="shared" si="4"/>
        <v>2.866064748040922E-2</v>
      </c>
      <c r="J79" s="69">
        <f t="shared" si="4"/>
        <v>2.7792498220477368E-2</v>
      </c>
      <c r="K79" s="69">
        <f t="shared" si="4"/>
        <v>2.8863836791974851E-2</v>
      </c>
      <c r="L79" s="69">
        <f t="shared" si="4"/>
        <v>2.8559983342365411E-2</v>
      </c>
      <c r="M79" s="69">
        <f t="shared" si="4"/>
        <v>2.747998252427615E-2</v>
      </c>
      <c r="N79" s="69">
        <f t="shared" si="4"/>
        <v>2.7115282359993696E-2</v>
      </c>
      <c r="O79" s="69">
        <f t="shared" si="4"/>
        <v>2.7149607264686702E-2</v>
      </c>
      <c r="P79" s="69">
        <f t="shared" si="4"/>
        <v>2.6864732672337476E-2</v>
      </c>
      <c r="Q79" s="69">
        <f t="shared" si="4"/>
        <v>2.6208155544343442E-2</v>
      </c>
      <c r="R79" s="69">
        <f t="shared" si="4"/>
        <v>2.4263299269823655E-2</v>
      </c>
      <c r="S79" s="69">
        <f t="shared" si="6"/>
        <v>2.3258339982885793E-2</v>
      </c>
      <c r="T79" s="69">
        <f t="shared" si="6"/>
        <v>2.2287007853136195E-2</v>
      </c>
      <c r="U79" s="69">
        <f t="shared" si="6"/>
        <v>2.1742173609438187E-2</v>
      </c>
      <c r="V79" s="69">
        <f t="shared" si="6"/>
        <v>2.2202360519157766E-2</v>
      </c>
      <c r="W79" s="69">
        <f t="shared" si="6"/>
        <v>2.2396600745198086E-2</v>
      </c>
      <c r="X79" s="69">
        <f t="shared" si="6"/>
        <v>2.2134960744023217E-2</v>
      </c>
      <c r="Y79" s="69">
        <f t="shared" si="6"/>
        <v>2.2466076591810959E-2</v>
      </c>
      <c r="Z79" s="69">
        <f t="shared" si="6"/>
        <v>2.3747438387340735E-2</v>
      </c>
      <c r="AA79" s="69">
        <f t="shared" si="6"/>
        <v>2.3326543556892648E-2</v>
      </c>
      <c r="AB79" s="69">
        <f t="shared" si="6"/>
        <v>2.3519078083689058E-2</v>
      </c>
      <c r="AC79" s="69">
        <f t="shared" si="6"/>
        <v>2.3748408596799143E-2</v>
      </c>
      <c r="AD79" s="69">
        <f t="shared" si="6"/>
        <v>2.185124049954093E-2</v>
      </c>
      <c r="AE79" s="69">
        <f t="shared" si="6"/>
        <v>2.4193459249811249E-2</v>
      </c>
      <c r="AF79" s="69">
        <f t="shared" si="6"/>
        <v>2.2073248063375905E-2</v>
      </c>
      <c r="AG79" s="69">
        <f t="shared" si="6"/>
        <v>2.1696158628455652E-2</v>
      </c>
      <c r="AH79" s="69">
        <f t="shared" si="6"/>
        <v>2.139616691777052E-2</v>
      </c>
    </row>
    <row r="80" spans="2:34">
      <c r="B80" t="s">
        <v>87</v>
      </c>
      <c r="C80" s="69">
        <f t="shared" si="4"/>
        <v>1.5446047475773342E-2</v>
      </c>
      <c r="D80" s="69">
        <f t="shared" si="4"/>
        <v>1.6672195380384381E-2</v>
      </c>
      <c r="E80" s="69">
        <f t="shared" si="4"/>
        <v>1.6161688992651912E-2</v>
      </c>
      <c r="F80" s="69">
        <f t="shared" si="4"/>
        <v>1.5888156344378353E-2</v>
      </c>
      <c r="G80" s="69">
        <f t="shared" si="4"/>
        <v>1.6779358899430892E-2</v>
      </c>
      <c r="H80" s="69">
        <f t="shared" si="4"/>
        <v>1.7449804101327838E-2</v>
      </c>
      <c r="I80" s="69">
        <f t="shared" si="4"/>
        <v>1.7863747778850168E-2</v>
      </c>
      <c r="J80" s="69">
        <f t="shared" si="4"/>
        <v>1.7181396047284154E-2</v>
      </c>
      <c r="K80" s="69">
        <f t="shared" si="4"/>
        <v>1.8198245717241483E-2</v>
      </c>
      <c r="L80" s="69">
        <f t="shared" si="4"/>
        <v>1.8045102225451456E-2</v>
      </c>
      <c r="M80" s="69">
        <f t="shared" si="4"/>
        <v>1.9144019103691432E-2</v>
      </c>
      <c r="N80" s="69">
        <f t="shared" si="4"/>
        <v>1.8952997801485464E-2</v>
      </c>
      <c r="O80" s="69">
        <f t="shared" si="4"/>
        <v>1.8764641971491559E-2</v>
      </c>
      <c r="P80" s="69">
        <f t="shared" si="4"/>
        <v>1.833144391205568E-2</v>
      </c>
      <c r="Q80" s="69">
        <f t="shared" si="4"/>
        <v>1.7788139300491741E-2</v>
      </c>
      <c r="R80" s="69">
        <f t="shared" si="4"/>
        <v>1.7020777524705797E-2</v>
      </c>
      <c r="S80" s="69">
        <f t="shared" si="6"/>
        <v>1.6851000582952483E-2</v>
      </c>
      <c r="T80" s="69">
        <f t="shared" si="6"/>
        <v>1.6617757065097317E-2</v>
      </c>
      <c r="U80" s="69">
        <f t="shared" si="6"/>
        <v>1.7265528948805949E-2</v>
      </c>
      <c r="V80" s="69">
        <f t="shared" si="6"/>
        <v>1.6963929815561909E-2</v>
      </c>
      <c r="W80" s="69">
        <f t="shared" si="6"/>
        <v>1.7241280856899278E-2</v>
      </c>
      <c r="X80" s="69">
        <f t="shared" si="6"/>
        <v>1.769210661215977E-2</v>
      </c>
      <c r="Y80" s="69">
        <f t="shared" si="6"/>
        <v>1.8457140341471473E-2</v>
      </c>
      <c r="Z80" s="69">
        <f t="shared" si="6"/>
        <v>1.7262639103438504E-2</v>
      </c>
      <c r="AA80" s="69">
        <f t="shared" si="6"/>
        <v>1.696168215082873E-2</v>
      </c>
      <c r="AB80" s="69">
        <f t="shared" si="6"/>
        <v>1.6436098035792716E-2</v>
      </c>
      <c r="AC80" s="69">
        <f t="shared" si="6"/>
        <v>1.9294012702543953E-2</v>
      </c>
      <c r="AD80" s="69">
        <f t="shared" si="6"/>
        <v>1.9019452531309232E-2</v>
      </c>
      <c r="AE80" s="69">
        <f t="shared" si="6"/>
        <v>1.9783372866935541E-2</v>
      </c>
      <c r="AF80" s="69">
        <f t="shared" si="6"/>
        <v>1.9915529029121148E-2</v>
      </c>
      <c r="AG80" s="69">
        <f t="shared" si="6"/>
        <v>1.7171943359789534E-2</v>
      </c>
      <c r="AH80" s="69">
        <f t="shared" si="6"/>
        <v>1.6865284947167353E-2</v>
      </c>
    </row>
    <row r="81" spans="2:34">
      <c r="B81" t="s">
        <v>89</v>
      </c>
      <c r="C81" s="69">
        <f t="shared" si="4"/>
        <v>2.7999185326799049E-2</v>
      </c>
      <c r="D81" s="69">
        <f t="shared" si="4"/>
        <v>2.864182022366351E-2</v>
      </c>
      <c r="E81" s="69">
        <f t="shared" si="4"/>
        <v>2.9712574806577595E-2</v>
      </c>
      <c r="F81" s="69">
        <f t="shared" si="4"/>
        <v>2.9293590909907762E-2</v>
      </c>
      <c r="G81" s="69">
        <f t="shared" si="4"/>
        <v>2.9279708199441621E-2</v>
      </c>
      <c r="H81" s="69">
        <f t="shared" si="4"/>
        <v>2.836666346016516E-2</v>
      </c>
      <c r="I81" s="69">
        <f t="shared" si="4"/>
        <v>2.8432779653910414E-2</v>
      </c>
      <c r="J81" s="69">
        <f t="shared" ref="J81:AH96" si="7">SUMIF($B$3:$B$53,$B81,J$3:J$53)/J$54</f>
        <v>2.9994673424299602E-2</v>
      </c>
      <c r="K81" s="69">
        <f t="shared" si="7"/>
        <v>3.1113662958935123E-2</v>
      </c>
      <c r="L81" s="69">
        <f t="shared" si="7"/>
        <v>2.7157065272780674E-2</v>
      </c>
      <c r="M81" s="69">
        <f t="shared" si="7"/>
        <v>2.7599048027260788E-2</v>
      </c>
      <c r="N81" s="69">
        <f t="shared" si="7"/>
        <v>2.7428756431066379E-2</v>
      </c>
      <c r="O81" s="69">
        <f t="shared" si="7"/>
        <v>2.7353199125463686E-2</v>
      </c>
      <c r="P81" s="69">
        <f t="shared" si="7"/>
        <v>2.7643406989751786E-2</v>
      </c>
      <c r="Q81" s="69">
        <f t="shared" si="7"/>
        <v>2.7865307902747091E-2</v>
      </c>
      <c r="R81" s="69">
        <f t="shared" si="7"/>
        <v>2.6949962853126373E-2</v>
      </c>
      <c r="S81" s="69">
        <f t="shared" si="7"/>
        <v>2.6873578175703669E-2</v>
      </c>
      <c r="T81" s="69">
        <f t="shared" si="7"/>
        <v>2.6814984204896166E-2</v>
      </c>
      <c r="U81" s="69">
        <f t="shared" si="7"/>
        <v>2.5743730110966204E-2</v>
      </c>
      <c r="V81" s="69">
        <f t="shared" si="7"/>
        <v>2.7010448238541238E-2</v>
      </c>
      <c r="W81" s="69">
        <f t="shared" si="7"/>
        <v>2.6871428025175365E-2</v>
      </c>
      <c r="X81" s="69">
        <f t="shared" si="7"/>
        <v>2.6382446413101637E-2</v>
      </c>
      <c r="Y81" s="69">
        <f t="shared" si="7"/>
        <v>2.5879578986201104E-2</v>
      </c>
      <c r="Z81" s="69">
        <f t="shared" si="7"/>
        <v>2.5030099233931312E-2</v>
      </c>
      <c r="AA81" s="69">
        <f t="shared" si="7"/>
        <v>2.526247092596038E-2</v>
      </c>
      <c r="AB81" s="69">
        <f t="shared" si="7"/>
        <v>2.5159842091030539E-2</v>
      </c>
      <c r="AC81" s="69">
        <f t="shared" si="7"/>
        <v>2.5185074521718347E-2</v>
      </c>
      <c r="AD81" s="69">
        <f t="shared" si="7"/>
        <v>2.4652079196652583E-2</v>
      </c>
      <c r="AE81" s="69">
        <f t="shared" si="7"/>
        <v>2.4859811985740013E-2</v>
      </c>
      <c r="AF81" s="69">
        <f t="shared" si="7"/>
        <v>2.505114257656952E-2</v>
      </c>
      <c r="AG81" s="69">
        <f t="shared" si="7"/>
        <v>2.5152372353724209E-2</v>
      </c>
      <c r="AH81" s="69">
        <f t="shared" si="7"/>
        <v>2.4176799994038167E-2</v>
      </c>
    </row>
    <row r="82" spans="2:34">
      <c r="B82" t="s">
        <v>88</v>
      </c>
      <c r="C82" s="69">
        <f t="shared" ref="C82:R97" si="8">SUMIF($B$3:$B$53,$B82,C$3:C$53)/C$54</f>
        <v>1.5469415386233164E-2</v>
      </c>
      <c r="D82" s="69">
        <f t="shared" si="8"/>
        <v>1.6163279300447413E-2</v>
      </c>
      <c r="E82" s="69">
        <f t="shared" si="8"/>
        <v>1.5790633764702338E-2</v>
      </c>
      <c r="F82" s="69">
        <f t="shared" si="8"/>
        <v>1.4795117917099124E-2</v>
      </c>
      <c r="G82" s="69">
        <f t="shared" si="8"/>
        <v>1.4396725392395582E-2</v>
      </c>
      <c r="H82" s="69">
        <f t="shared" si="8"/>
        <v>1.4430706771058959E-2</v>
      </c>
      <c r="I82" s="69">
        <f t="shared" si="8"/>
        <v>1.4864500563723427E-2</v>
      </c>
      <c r="J82" s="69">
        <f t="shared" si="8"/>
        <v>1.479040756417976E-2</v>
      </c>
      <c r="K82" s="69">
        <f t="shared" si="8"/>
        <v>1.6496649474155054E-2</v>
      </c>
      <c r="L82" s="69">
        <f t="shared" si="8"/>
        <v>1.750903803288479E-2</v>
      </c>
      <c r="M82" s="69">
        <f t="shared" si="8"/>
        <v>1.5432195491773784E-2</v>
      </c>
      <c r="N82" s="69">
        <f t="shared" si="8"/>
        <v>1.5156092194285828E-2</v>
      </c>
      <c r="O82" s="69">
        <f t="shared" si="8"/>
        <v>1.5532649937569476E-2</v>
      </c>
      <c r="P82" s="69">
        <f t="shared" si="8"/>
        <v>1.685187464613299E-2</v>
      </c>
      <c r="Q82" s="69">
        <f t="shared" si="8"/>
        <v>1.6064114036668357E-2</v>
      </c>
      <c r="R82" s="69">
        <f t="shared" si="8"/>
        <v>1.5516723533501336E-2</v>
      </c>
      <c r="S82" s="69">
        <f t="shared" si="7"/>
        <v>1.6044973313705878E-2</v>
      </c>
      <c r="T82" s="69">
        <f t="shared" si="7"/>
        <v>1.5357566672560158E-2</v>
      </c>
      <c r="U82" s="69">
        <f t="shared" si="7"/>
        <v>1.6166127381028076E-2</v>
      </c>
      <c r="V82" s="69">
        <f t="shared" si="7"/>
        <v>1.5705826344685422E-2</v>
      </c>
      <c r="W82" s="69">
        <f t="shared" si="7"/>
        <v>1.5347826453522133E-2</v>
      </c>
      <c r="X82" s="69">
        <f t="shared" si="7"/>
        <v>1.4878935602460038E-2</v>
      </c>
      <c r="Y82" s="69">
        <f t="shared" si="7"/>
        <v>1.5462876930101862E-2</v>
      </c>
      <c r="Z82" s="69">
        <f t="shared" si="7"/>
        <v>1.4364091023994515E-2</v>
      </c>
      <c r="AA82" s="69">
        <f t="shared" si="7"/>
        <v>1.443948938275654E-2</v>
      </c>
      <c r="AB82" s="69">
        <f t="shared" si="7"/>
        <v>1.5582629958215494E-2</v>
      </c>
      <c r="AC82" s="69">
        <f t="shared" si="7"/>
        <v>1.6610105304398888E-2</v>
      </c>
      <c r="AD82" s="69">
        <f t="shared" si="7"/>
        <v>1.6083140433794833E-2</v>
      </c>
      <c r="AE82" s="69">
        <f t="shared" si="7"/>
        <v>1.6506641118170486E-2</v>
      </c>
      <c r="AF82" s="69">
        <f t="shared" si="7"/>
        <v>1.616438280064882E-2</v>
      </c>
      <c r="AG82" s="69">
        <f t="shared" si="7"/>
        <v>1.6615633434493599E-2</v>
      </c>
      <c r="AH82" s="69">
        <f t="shared" si="7"/>
        <v>1.6230624017422705E-2</v>
      </c>
    </row>
    <row r="83" spans="2:34">
      <c r="B83" t="s">
        <v>90</v>
      </c>
      <c r="C83" s="69">
        <f t="shared" si="8"/>
        <v>5.9053913397110452E-3</v>
      </c>
      <c r="D83" s="69">
        <f t="shared" si="8"/>
        <v>5.6260190791471284E-3</v>
      </c>
      <c r="E83" s="69">
        <f t="shared" si="8"/>
        <v>5.7642934526161878E-3</v>
      </c>
      <c r="F83" s="69">
        <f t="shared" si="8"/>
        <v>5.910138330881283E-3</v>
      </c>
      <c r="G83" s="69">
        <f t="shared" si="8"/>
        <v>6.228888714785441E-3</v>
      </c>
      <c r="H83" s="69">
        <f t="shared" si="8"/>
        <v>6.0911572637886019E-3</v>
      </c>
      <c r="I83" s="69">
        <f t="shared" si="8"/>
        <v>5.3819737072412777E-3</v>
      </c>
      <c r="J83" s="69">
        <f t="shared" si="8"/>
        <v>5.9786108915188107E-3</v>
      </c>
      <c r="K83" s="69">
        <f t="shared" si="8"/>
        <v>5.720822813254557E-3</v>
      </c>
      <c r="L83" s="69">
        <f t="shared" si="8"/>
        <v>5.8044736178695005E-3</v>
      </c>
      <c r="M83" s="69">
        <f t="shared" si="8"/>
        <v>5.7060958841027064E-3</v>
      </c>
      <c r="N83" s="69">
        <f t="shared" si="8"/>
        <v>5.941351186239654E-3</v>
      </c>
      <c r="O83" s="69">
        <f t="shared" si="8"/>
        <v>5.8224109031838169E-3</v>
      </c>
      <c r="P83" s="69">
        <f t="shared" si="8"/>
        <v>5.985772965999195E-3</v>
      </c>
      <c r="Q83" s="69">
        <f t="shared" si="8"/>
        <v>5.9868651226771133E-3</v>
      </c>
      <c r="R83" s="69">
        <f t="shared" si="8"/>
        <v>6.3008676109560383E-3</v>
      </c>
      <c r="S83" s="69">
        <f t="shared" si="7"/>
        <v>6.4739824937671128E-3</v>
      </c>
      <c r="T83" s="69">
        <f t="shared" si="7"/>
        <v>6.5038691696947121E-3</v>
      </c>
      <c r="U83" s="69">
        <f t="shared" si="7"/>
        <v>6.5344850176672483E-3</v>
      </c>
      <c r="V83" s="69">
        <f t="shared" si="7"/>
        <v>6.7188518203140481E-3</v>
      </c>
      <c r="W83" s="69">
        <f t="shared" si="7"/>
        <v>6.70085403951972E-3</v>
      </c>
      <c r="X83" s="69">
        <f t="shared" si="7"/>
        <v>6.838851550664069E-3</v>
      </c>
      <c r="Y83" s="69">
        <f t="shared" si="7"/>
        <v>7.0107023906885819E-3</v>
      </c>
      <c r="Z83" s="69">
        <f t="shared" si="7"/>
        <v>6.9013322667307742E-3</v>
      </c>
      <c r="AA83" s="69">
        <f t="shared" si="7"/>
        <v>6.8222949773416143E-3</v>
      </c>
      <c r="AB83" s="69">
        <f t="shared" si="7"/>
        <v>6.6109619072096861E-3</v>
      </c>
      <c r="AC83" s="69">
        <f t="shared" si="7"/>
        <v>6.415733267581207E-3</v>
      </c>
      <c r="AD83" s="69">
        <f t="shared" si="7"/>
        <v>6.3385045110555599E-3</v>
      </c>
      <c r="AE83" s="69">
        <f t="shared" si="7"/>
        <v>6.3502884069594496E-3</v>
      </c>
      <c r="AF83" s="69">
        <f t="shared" si="7"/>
        <v>6.3475944843335644E-3</v>
      </c>
      <c r="AG83" s="69">
        <f t="shared" si="7"/>
        <v>6.8504721527868195E-3</v>
      </c>
      <c r="AH83" s="69">
        <f t="shared" si="7"/>
        <v>6.8278238093689089E-3</v>
      </c>
    </row>
    <row r="84" spans="2:34">
      <c r="B84" t="s">
        <v>98</v>
      </c>
      <c r="C84" s="69">
        <f t="shared" si="8"/>
        <v>2.9571478221507911E-2</v>
      </c>
      <c r="D84" s="69">
        <f t="shared" si="8"/>
        <v>2.9297275466022139E-2</v>
      </c>
      <c r="E84" s="69">
        <f t="shared" si="8"/>
        <v>2.9510459002299073E-2</v>
      </c>
      <c r="F84" s="69">
        <f t="shared" si="8"/>
        <v>2.8241664866763664E-2</v>
      </c>
      <c r="G84" s="69">
        <f t="shared" si="8"/>
        <v>3.0687600897022303E-2</v>
      </c>
      <c r="H84" s="69">
        <f t="shared" si="8"/>
        <v>2.9782802577203012E-2</v>
      </c>
      <c r="I84" s="69">
        <f t="shared" si="8"/>
        <v>2.9449992824133239E-2</v>
      </c>
      <c r="J84" s="69">
        <f t="shared" si="8"/>
        <v>2.8928473753542332E-2</v>
      </c>
      <c r="K84" s="69">
        <f t="shared" si="8"/>
        <v>2.9769471155374937E-2</v>
      </c>
      <c r="L84" s="69">
        <f t="shared" si="8"/>
        <v>2.7683633560620789E-2</v>
      </c>
      <c r="M84" s="69">
        <f t="shared" si="8"/>
        <v>3.0592403908536361E-2</v>
      </c>
      <c r="N84" s="69">
        <f t="shared" si="8"/>
        <v>2.8738190286224097E-2</v>
      </c>
      <c r="O84" s="69">
        <f t="shared" si="8"/>
        <v>2.8197012623011684E-2</v>
      </c>
      <c r="P84" s="69">
        <f t="shared" si="8"/>
        <v>2.9549029935313303E-2</v>
      </c>
      <c r="Q84" s="69">
        <f t="shared" si="8"/>
        <v>2.9481340652373837E-2</v>
      </c>
      <c r="R84" s="69">
        <f t="shared" si="8"/>
        <v>2.8297462274196623E-2</v>
      </c>
      <c r="S84" s="69">
        <f t="shared" si="7"/>
        <v>2.8015888691268063E-2</v>
      </c>
      <c r="T84" s="69">
        <f t="shared" si="7"/>
        <v>2.7312420683363661E-2</v>
      </c>
      <c r="U84" s="69">
        <f t="shared" si="7"/>
        <v>2.6389832378731735E-2</v>
      </c>
      <c r="V84" s="69">
        <f t="shared" si="7"/>
        <v>2.647503014195967E-2</v>
      </c>
      <c r="W84" s="69">
        <f t="shared" si="7"/>
        <v>2.7031378134868653E-2</v>
      </c>
      <c r="X84" s="69">
        <f t="shared" si="7"/>
        <v>2.6837752470051685E-2</v>
      </c>
      <c r="Y84" s="69">
        <f t="shared" si="7"/>
        <v>2.5589095601225569E-2</v>
      </c>
      <c r="Z84" s="69">
        <f t="shared" si="7"/>
        <v>2.564341308820943E-2</v>
      </c>
      <c r="AA84" s="69">
        <f t="shared" si="7"/>
        <v>2.5932819490089871E-2</v>
      </c>
      <c r="AB84" s="69">
        <f t="shared" si="7"/>
        <v>2.6310715569548383E-2</v>
      </c>
      <c r="AC84" s="69">
        <f t="shared" si="7"/>
        <v>2.6904959697569834E-2</v>
      </c>
      <c r="AD84" s="69">
        <f t="shared" si="7"/>
        <v>2.6869195883306149E-2</v>
      </c>
      <c r="AE84" s="69">
        <f t="shared" si="7"/>
        <v>2.7353644561910154E-2</v>
      </c>
      <c r="AF84" s="69">
        <f t="shared" si="7"/>
        <v>2.7502880768469636E-2</v>
      </c>
      <c r="AG84" s="69">
        <f t="shared" si="7"/>
        <v>2.8879920712481154E-2</v>
      </c>
      <c r="AH84" s="69">
        <f t="shared" si="7"/>
        <v>2.754410744194782E-2</v>
      </c>
    </row>
    <row r="85" spans="2:34">
      <c r="B85" t="s">
        <v>99</v>
      </c>
      <c r="C85" s="69">
        <f t="shared" si="8"/>
        <v>4.387372301554027E-3</v>
      </c>
      <c r="D85" s="69">
        <f t="shared" si="8"/>
        <v>4.6962266407809868E-3</v>
      </c>
      <c r="E85" s="69">
        <f t="shared" si="8"/>
        <v>4.6600721574869552E-3</v>
      </c>
      <c r="F85" s="69">
        <f t="shared" si="8"/>
        <v>4.7277546399351967E-3</v>
      </c>
      <c r="G85" s="69">
        <f t="shared" si="8"/>
        <v>5.226203904472539E-3</v>
      </c>
      <c r="H85" s="69">
        <f t="shared" si="8"/>
        <v>5.1271081491397908E-3</v>
      </c>
      <c r="I85" s="69">
        <f t="shared" si="8"/>
        <v>5.0482167437234729E-3</v>
      </c>
      <c r="J85" s="69">
        <f t="shared" si="8"/>
        <v>4.718664981930569E-3</v>
      </c>
      <c r="K85" s="69">
        <f t="shared" si="8"/>
        <v>4.7743138364739878E-3</v>
      </c>
      <c r="L85" s="69">
        <f t="shared" si="8"/>
        <v>4.4696878812072972E-3</v>
      </c>
      <c r="M85" s="69">
        <f t="shared" si="8"/>
        <v>4.3184165091061143E-3</v>
      </c>
      <c r="N85" s="69">
        <f t="shared" si="8"/>
        <v>4.5225505765791917E-3</v>
      </c>
      <c r="O85" s="69">
        <f t="shared" si="8"/>
        <v>4.3136456840811611E-3</v>
      </c>
      <c r="P85" s="69">
        <f t="shared" si="8"/>
        <v>4.430867364671639E-3</v>
      </c>
      <c r="Q85" s="69">
        <f t="shared" si="8"/>
        <v>4.20445322685996E-3</v>
      </c>
      <c r="R85" s="69">
        <f t="shared" si="8"/>
        <v>4.4042127011804846E-3</v>
      </c>
      <c r="S85" s="69">
        <f t="shared" si="7"/>
        <v>4.2506172405035276E-3</v>
      </c>
      <c r="T85" s="69">
        <f t="shared" si="7"/>
        <v>4.4816359069500544E-3</v>
      </c>
      <c r="U85" s="69">
        <f t="shared" si="7"/>
        <v>5.1283693690019339E-3</v>
      </c>
      <c r="V85" s="69">
        <f t="shared" si="7"/>
        <v>5.6222354349362022E-3</v>
      </c>
      <c r="W85" s="69">
        <f t="shared" si="7"/>
        <v>6.5192700809024989E-3</v>
      </c>
      <c r="X85" s="69">
        <f t="shared" si="7"/>
        <v>8.6089467110964622E-3</v>
      </c>
      <c r="Y85" s="69">
        <f t="shared" si="7"/>
        <v>1.0112648640088316E-2</v>
      </c>
      <c r="Z85" s="69">
        <f t="shared" si="7"/>
        <v>1.0290828673791575E-2</v>
      </c>
      <c r="AA85" s="69">
        <f t="shared" si="7"/>
        <v>1.0562774491620441E-2</v>
      </c>
      <c r="AB85" s="69">
        <f t="shared" si="7"/>
        <v>8.7180327686706329E-3</v>
      </c>
      <c r="AC85" s="69">
        <f t="shared" si="7"/>
        <v>7.045208634519861E-3</v>
      </c>
      <c r="AD85" s="69">
        <f t="shared" si="7"/>
        <v>7.2996903970906375E-3</v>
      </c>
      <c r="AE85" s="69">
        <f t="shared" si="7"/>
        <v>7.5592186715692962E-3</v>
      </c>
      <c r="AF85" s="69">
        <f t="shared" si="7"/>
        <v>7.3099983725809677E-3</v>
      </c>
      <c r="AG85" s="69">
        <f t="shared" si="7"/>
        <v>6.6977063185341733E-3</v>
      </c>
      <c r="AH85" s="69">
        <f t="shared" si="7"/>
        <v>6.087548224555951E-3</v>
      </c>
    </row>
    <row r="86" spans="2:34">
      <c r="B86" t="s">
        <v>91</v>
      </c>
      <c r="C86" s="69">
        <f t="shared" si="8"/>
        <v>1.0378179007522441E-2</v>
      </c>
      <c r="D86" s="69">
        <f t="shared" si="8"/>
        <v>1.078786833945366E-2</v>
      </c>
      <c r="E86" s="69">
        <f t="shared" si="8"/>
        <v>1.1437500171129886E-2</v>
      </c>
      <c r="F86" s="69">
        <f t="shared" si="8"/>
        <v>1.1039989041218513E-2</v>
      </c>
      <c r="G86" s="69">
        <f t="shared" si="8"/>
        <v>1.1361402704573836E-2</v>
      </c>
      <c r="H86" s="69">
        <f t="shared" si="8"/>
        <v>1.1998776975965852E-2</v>
      </c>
      <c r="I86" s="69">
        <f t="shared" si="8"/>
        <v>1.2477650433449597E-2</v>
      </c>
      <c r="J86" s="69">
        <f t="shared" si="8"/>
        <v>1.0830227638392564E-2</v>
      </c>
      <c r="K86" s="69">
        <f t="shared" si="8"/>
        <v>1.201524828445869E-2</v>
      </c>
      <c r="L86" s="69">
        <f t="shared" si="8"/>
        <v>1.1327047357800551E-2</v>
      </c>
      <c r="M86" s="69">
        <f t="shared" si="8"/>
        <v>1.0920080322175552E-2</v>
      </c>
      <c r="N86" s="69">
        <f t="shared" si="8"/>
        <v>1.099479058784136E-2</v>
      </c>
      <c r="O86" s="69">
        <f t="shared" si="8"/>
        <v>1.0797155016539394E-2</v>
      </c>
      <c r="P86" s="69">
        <f t="shared" si="8"/>
        <v>1.0739717307503234E-2</v>
      </c>
      <c r="Q86" s="69">
        <f t="shared" si="8"/>
        <v>1.0819784453473685E-2</v>
      </c>
      <c r="R86" s="69">
        <f t="shared" si="8"/>
        <v>1.0412732614126632E-2</v>
      </c>
      <c r="S86" s="69">
        <f t="shared" si="7"/>
        <v>1.028316406145461E-2</v>
      </c>
      <c r="T86" s="69">
        <f t="shared" si="7"/>
        <v>1.0708737382986392E-2</v>
      </c>
      <c r="U86" s="69">
        <f t="shared" si="7"/>
        <v>1.056949843617391E-2</v>
      </c>
      <c r="V86" s="69">
        <f t="shared" si="7"/>
        <v>1.1035189991528863E-2</v>
      </c>
      <c r="W86" s="69">
        <f t="shared" si="7"/>
        <v>1.1619074637159381E-2</v>
      </c>
      <c r="X86" s="69">
        <f t="shared" si="7"/>
        <v>1.1422667806050177E-2</v>
      </c>
      <c r="Y86" s="69">
        <f t="shared" si="7"/>
        <v>1.1247182193016842E-2</v>
      </c>
      <c r="Z86" s="69">
        <f t="shared" si="7"/>
        <v>1.1205271756156508E-2</v>
      </c>
      <c r="AA86" s="69">
        <f t="shared" si="7"/>
        <v>1.1141762252193894E-2</v>
      </c>
      <c r="AB86" s="69">
        <f t="shared" si="7"/>
        <v>1.093209178280834E-2</v>
      </c>
      <c r="AC86" s="69">
        <f t="shared" si="7"/>
        <v>1.1279542856944196E-2</v>
      </c>
      <c r="AD86" s="69">
        <f t="shared" si="7"/>
        <v>1.092896136426638E-2</v>
      </c>
      <c r="AE86" s="69">
        <f t="shared" si="7"/>
        <v>1.0886132079339068E-2</v>
      </c>
      <c r="AF86" s="69">
        <f t="shared" si="7"/>
        <v>1.1121250732088122E-2</v>
      </c>
      <c r="AG86" s="69">
        <f t="shared" si="7"/>
        <v>1.1494782448192922E-2</v>
      </c>
      <c r="AH86" s="69">
        <f t="shared" si="7"/>
        <v>1.171446971856901E-2</v>
      </c>
    </row>
    <row r="87" spans="2:34">
      <c r="B87" t="s">
        <v>93</v>
      </c>
      <c r="C87" s="69">
        <f t="shared" si="8"/>
        <v>2.438507414294066E-3</v>
      </c>
      <c r="D87" s="69">
        <f t="shared" si="8"/>
        <v>2.3678229830162759E-3</v>
      </c>
      <c r="E87" s="69">
        <f t="shared" si="8"/>
        <v>2.3398247082349528E-3</v>
      </c>
      <c r="F87" s="69">
        <f t="shared" si="8"/>
        <v>2.2850432637909583E-3</v>
      </c>
      <c r="G87" s="69">
        <f t="shared" si="8"/>
        <v>2.2483989538370271E-3</v>
      </c>
      <c r="H87" s="69">
        <f t="shared" si="8"/>
        <v>2.4262061708224822E-3</v>
      </c>
      <c r="I87" s="69">
        <f t="shared" si="8"/>
        <v>2.2582441651808681E-3</v>
      </c>
      <c r="J87" s="69">
        <f t="shared" si="8"/>
        <v>3.9600438441444695E-3</v>
      </c>
      <c r="K87" s="69">
        <f t="shared" si="8"/>
        <v>3.4398272693161366E-3</v>
      </c>
      <c r="L87" s="69">
        <f t="shared" si="8"/>
        <v>3.2518929443610184E-3</v>
      </c>
      <c r="M87" s="69">
        <f t="shared" si="8"/>
        <v>2.9808920540884561E-3</v>
      </c>
      <c r="N87" s="69">
        <f t="shared" si="8"/>
        <v>3.00061732722458E-3</v>
      </c>
      <c r="O87" s="69">
        <f t="shared" si="8"/>
        <v>3.0313907880491694E-3</v>
      </c>
      <c r="P87" s="69">
        <f t="shared" si="8"/>
        <v>2.9009318383142477E-3</v>
      </c>
      <c r="Q87" s="69">
        <f t="shared" si="8"/>
        <v>3.0018117524499965E-3</v>
      </c>
      <c r="R87" s="69">
        <f t="shared" si="8"/>
        <v>2.8471812366266717E-3</v>
      </c>
      <c r="S87" s="69">
        <f t="shared" si="7"/>
        <v>2.5455067951637967E-3</v>
      </c>
      <c r="T87" s="69">
        <f t="shared" si="7"/>
        <v>2.5701293366718397E-3</v>
      </c>
      <c r="U87" s="69">
        <f t="shared" si="7"/>
        <v>2.5565451998844865E-3</v>
      </c>
      <c r="V87" s="69">
        <f t="shared" si="7"/>
        <v>2.6548113352333653E-3</v>
      </c>
      <c r="W87" s="69">
        <f t="shared" si="7"/>
        <v>2.5680615462744185E-3</v>
      </c>
      <c r="X87" s="69">
        <f t="shared" si="7"/>
        <v>2.4937906397510612E-3</v>
      </c>
      <c r="Y87" s="69">
        <f t="shared" si="7"/>
        <v>2.4631256484861732E-3</v>
      </c>
      <c r="Z87" s="69">
        <f t="shared" si="7"/>
        <v>2.4062960492205097E-3</v>
      </c>
      <c r="AA87" s="69">
        <f t="shared" si="7"/>
        <v>2.4556615544572336E-3</v>
      </c>
      <c r="AB87" s="69">
        <f t="shared" si="7"/>
        <v>2.4992294606649952E-3</v>
      </c>
      <c r="AC87" s="69">
        <f t="shared" si="7"/>
        <v>2.3745656316975913E-3</v>
      </c>
      <c r="AD87" s="69">
        <f t="shared" si="7"/>
        <v>2.3925427825021916E-3</v>
      </c>
      <c r="AE87" s="69">
        <f t="shared" si="7"/>
        <v>2.4442338825349033E-3</v>
      </c>
      <c r="AF87" s="69">
        <f t="shared" si="7"/>
        <v>2.3392213360008312E-3</v>
      </c>
      <c r="AG87" s="69">
        <f t="shared" si="7"/>
        <v>2.4935218796636387E-3</v>
      </c>
      <c r="AH87" s="69">
        <f t="shared" ref="AH87:AH96" si="9">SUMIF($B$3:$B$53,$B87,AH$3:AH$53)/AH$54</f>
        <v>2.8583845685666771E-3</v>
      </c>
    </row>
    <row r="88" spans="2:34">
      <c r="B88" t="s">
        <v>94</v>
      </c>
      <c r="C88" s="69">
        <f t="shared" si="8"/>
        <v>1.9904465763160857E-2</v>
      </c>
      <c r="D88" s="69">
        <f t="shared" si="8"/>
        <v>1.884059725604692E-2</v>
      </c>
      <c r="E88" s="69">
        <f t="shared" si="8"/>
        <v>1.7105960887465899E-2</v>
      </c>
      <c r="F88" s="69">
        <f t="shared" si="8"/>
        <v>1.9520795745876979E-2</v>
      </c>
      <c r="G88" s="69">
        <f t="shared" si="8"/>
        <v>2.2333934626222355E-2</v>
      </c>
      <c r="H88" s="69">
        <f t="shared" si="8"/>
        <v>1.8715297427562859E-2</v>
      </c>
      <c r="I88" s="69">
        <f t="shared" si="8"/>
        <v>2.2113672356771873E-2</v>
      </c>
      <c r="J88" s="69">
        <f t="shared" si="8"/>
        <v>2.3221685943368469E-2</v>
      </c>
      <c r="K88" s="69">
        <f t="shared" si="8"/>
        <v>2.3851959967522901E-2</v>
      </c>
      <c r="L88" s="69">
        <f t="shared" si="8"/>
        <v>2.4175037792447226E-2</v>
      </c>
      <c r="M88" s="69">
        <f t="shared" si="8"/>
        <v>2.3572902273467995E-2</v>
      </c>
      <c r="N88" s="69">
        <f t="shared" si="8"/>
        <v>2.5036085184503273E-2</v>
      </c>
      <c r="O88" s="69">
        <f t="shared" si="8"/>
        <v>2.3995572509658177E-2</v>
      </c>
      <c r="P88" s="69">
        <f t="shared" si="8"/>
        <v>2.4676939357403217E-2</v>
      </c>
      <c r="Q88" s="69">
        <f t="shared" si="8"/>
        <v>2.4054355411181231E-2</v>
      </c>
      <c r="R88" s="69">
        <f t="shared" si="8"/>
        <v>2.3980258425240004E-2</v>
      </c>
      <c r="S88" s="69">
        <f t="shared" si="7"/>
        <v>2.4144204281833743E-2</v>
      </c>
      <c r="T88" s="69">
        <f t="shared" si="7"/>
        <v>2.4266799152935899E-2</v>
      </c>
      <c r="U88" s="69">
        <f t="shared" si="7"/>
        <v>2.3368332761894012E-2</v>
      </c>
      <c r="V88" s="69">
        <f t="shared" si="7"/>
        <v>2.382741158419863E-2</v>
      </c>
      <c r="W88" s="69">
        <f t="shared" si="7"/>
        <v>2.165882119551198E-2</v>
      </c>
      <c r="X88" s="69">
        <f t="shared" si="7"/>
        <v>2.153020611798238E-2</v>
      </c>
      <c r="Y88" s="69">
        <f t="shared" si="7"/>
        <v>2.1029311342301071E-2</v>
      </c>
      <c r="Z88" s="69">
        <f t="shared" si="7"/>
        <v>2.0593781781825107E-2</v>
      </c>
      <c r="AA88" s="69">
        <f t="shared" si="7"/>
        <v>2.0675921875332088E-2</v>
      </c>
      <c r="AB88" s="69">
        <f t="shared" si="7"/>
        <v>1.8914550229808105E-2</v>
      </c>
      <c r="AC88" s="69">
        <f t="shared" si="7"/>
        <v>2.1791610070900903E-2</v>
      </c>
      <c r="AD88" s="69">
        <f t="shared" si="7"/>
        <v>1.9104891276734572E-2</v>
      </c>
      <c r="AE88" s="69">
        <f t="shared" si="7"/>
        <v>1.889316142912701E-2</v>
      </c>
      <c r="AF88" s="69">
        <f t="shared" si="7"/>
        <v>1.8229073936642855E-2</v>
      </c>
      <c r="AG88" s="69">
        <f t="shared" si="7"/>
        <v>1.7590034306732619E-2</v>
      </c>
      <c r="AH88" s="69">
        <f t="shared" si="9"/>
        <v>1.7447890412500194E-2</v>
      </c>
    </row>
    <row r="89" spans="2:34">
      <c r="B89" t="s">
        <v>95</v>
      </c>
      <c r="C89" s="69">
        <f t="shared" si="8"/>
        <v>1.0489082356761187E-2</v>
      </c>
      <c r="D89" s="69">
        <f t="shared" si="8"/>
        <v>1.0752662136188442E-2</v>
      </c>
      <c r="E89" s="69">
        <f t="shared" si="8"/>
        <v>1.0703877757586987E-2</v>
      </c>
      <c r="F89" s="69">
        <f t="shared" si="8"/>
        <v>1.3461423698975293E-2</v>
      </c>
      <c r="G89" s="69">
        <f t="shared" si="8"/>
        <v>1.2743060636057135E-2</v>
      </c>
      <c r="H89" s="69">
        <f t="shared" si="8"/>
        <v>1.182912875258455E-2</v>
      </c>
      <c r="I89" s="69">
        <f t="shared" si="8"/>
        <v>1.1675418720477788E-2</v>
      </c>
      <c r="J89" s="69">
        <f t="shared" si="8"/>
        <v>1.1667333863620814E-2</v>
      </c>
      <c r="K89" s="69">
        <f t="shared" si="8"/>
        <v>1.3099849857011726E-2</v>
      </c>
      <c r="L89" s="69">
        <f t="shared" si="8"/>
        <v>1.2552207105243331E-2</v>
      </c>
      <c r="M89" s="69">
        <f t="shared" si="8"/>
        <v>1.215301049663977E-2</v>
      </c>
      <c r="N89" s="69">
        <f t="shared" si="8"/>
        <v>1.2131767247765093E-2</v>
      </c>
      <c r="O89" s="69">
        <f t="shared" si="8"/>
        <v>1.2082659330688307E-2</v>
      </c>
      <c r="P89" s="69">
        <f t="shared" si="8"/>
        <v>1.2507053193958083E-2</v>
      </c>
      <c r="Q89" s="69">
        <f t="shared" si="8"/>
        <v>1.2501886991161238E-2</v>
      </c>
      <c r="R89" s="69">
        <f t="shared" si="8"/>
        <v>1.2317927328969119E-2</v>
      </c>
      <c r="S89" s="69">
        <f t="shared" si="7"/>
        <v>1.2983880427324896E-2</v>
      </c>
      <c r="T89" s="69">
        <f t="shared" si="7"/>
        <v>1.3050008671057305E-2</v>
      </c>
      <c r="U89" s="69">
        <f t="shared" si="7"/>
        <v>1.2246381550249328E-2</v>
      </c>
      <c r="V89" s="69">
        <f t="shared" si="7"/>
        <v>1.2786792073638765E-2</v>
      </c>
      <c r="W89" s="69">
        <f t="shared" si="7"/>
        <v>1.2914161749527767E-2</v>
      </c>
      <c r="X89" s="69">
        <f t="shared" si="7"/>
        <v>1.3815077526379721E-2</v>
      </c>
      <c r="Y89" s="69">
        <f t="shared" si="7"/>
        <v>1.3716510090688422E-2</v>
      </c>
      <c r="Z89" s="69">
        <f t="shared" si="7"/>
        <v>1.3208280441032162E-2</v>
      </c>
      <c r="AA89" s="69">
        <f t="shared" si="7"/>
        <v>1.3355775992173793E-2</v>
      </c>
      <c r="AB89" s="69">
        <f t="shared" si="7"/>
        <v>1.3221234521212988E-2</v>
      </c>
      <c r="AC89" s="69">
        <f t="shared" si="7"/>
        <v>1.3041605513946369E-2</v>
      </c>
      <c r="AD89" s="69">
        <f t="shared" si="7"/>
        <v>1.3455453530032833E-2</v>
      </c>
      <c r="AE89" s="69">
        <f t="shared" si="7"/>
        <v>1.351036234935417E-2</v>
      </c>
      <c r="AF89" s="69">
        <f t="shared" si="7"/>
        <v>1.383554343273582E-2</v>
      </c>
      <c r="AG89" s="69">
        <f t="shared" si="7"/>
        <v>1.5192998622102731E-2</v>
      </c>
      <c r="AH89" s="69">
        <f t="shared" si="9"/>
        <v>1.6094050292610754E-2</v>
      </c>
    </row>
    <row r="90" spans="2:34">
      <c r="B90" t="s">
        <v>92</v>
      </c>
      <c r="C90" s="69">
        <f t="shared" si="8"/>
        <v>6.2252867268525417E-3</v>
      </c>
      <c r="D90" s="69">
        <f t="shared" si="8"/>
        <v>6.8637568360325561E-3</v>
      </c>
      <c r="E90" s="69">
        <f t="shared" si="8"/>
        <v>6.6965634380769931E-3</v>
      </c>
      <c r="F90" s="69">
        <f t="shared" si="8"/>
        <v>7.4722817763126885E-3</v>
      </c>
      <c r="G90" s="69">
        <f t="shared" si="8"/>
        <v>6.9456145746368565E-3</v>
      </c>
      <c r="H90" s="69">
        <f t="shared" si="8"/>
        <v>6.7434214856689411E-3</v>
      </c>
      <c r="I90" s="69">
        <f t="shared" si="8"/>
        <v>8.1048635292996635E-3</v>
      </c>
      <c r="J90" s="69">
        <f t="shared" si="8"/>
        <v>7.6159452167965979E-3</v>
      </c>
      <c r="K90" s="69">
        <f t="shared" si="8"/>
        <v>7.6296076355102738E-3</v>
      </c>
      <c r="L90" s="69">
        <f t="shared" si="8"/>
        <v>8.2397500953664618E-3</v>
      </c>
      <c r="M90" s="69">
        <f t="shared" si="8"/>
        <v>7.9189045877849813E-3</v>
      </c>
      <c r="N90" s="69">
        <f t="shared" si="8"/>
        <v>8.049710831483755E-3</v>
      </c>
      <c r="O90" s="69">
        <f t="shared" si="8"/>
        <v>8.279833676952111E-3</v>
      </c>
      <c r="P90" s="69">
        <f t="shared" si="8"/>
        <v>8.4686051872362184E-3</v>
      </c>
      <c r="Q90" s="69">
        <f t="shared" si="8"/>
        <v>8.8909910337033292E-3</v>
      </c>
      <c r="R90" s="69">
        <f t="shared" si="8"/>
        <v>9.9443473176561766E-3</v>
      </c>
      <c r="S90" s="69">
        <f t="shared" si="7"/>
        <v>9.9579796836832442E-3</v>
      </c>
      <c r="T90" s="69">
        <f t="shared" si="7"/>
        <v>9.5077107435319469E-3</v>
      </c>
      <c r="U90" s="69">
        <f t="shared" si="7"/>
        <v>8.6403636896889482E-3</v>
      </c>
      <c r="V90" s="69">
        <f t="shared" si="7"/>
        <v>8.8177589205219297E-3</v>
      </c>
      <c r="W90" s="69">
        <f t="shared" si="7"/>
        <v>8.4187944650827903E-3</v>
      </c>
      <c r="X90" s="69">
        <f t="shared" si="7"/>
        <v>8.0091967553706199E-3</v>
      </c>
      <c r="Y90" s="69">
        <f t="shared" si="7"/>
        <v>8.0170234482996872E-3</v>
      </c>
      <c r="Z90" s="69">
        <f t="shared" si="7"/>
        <v>8.2790591073991504E-3</v>
      </c>
      <c r="AA90" s="69">
        <f t="shared" si="7"/>
        <v>7.5869506553954092E-3</v>
      </c>
      <c r="AB90" s="69">
        <f t="shared" si="7"/>
        <v>7.6452955986194343E-3</v>
      </c>
      <c r="AC90" s="69">
        <f t="shared" si="7"/>
        <v>8.1506352684331106E-3</v>
      </c>
      <c r="AD90" s="69">
        <f t="shared" si="7"/>
        <v>8.7971192981155487E-3</v>
      </c>
      <c r="AE90" s="69">
        <f t="shared" si="7"/>
        <v>8.2331499573012838E-3</v>
      </c>
      <c r="AF90" s="69">
        <f t="shared" si="7"/>
        <v>8.8062084533444829E-3</v>
      </c>
      <c r="AG90" s="69">
        <f t="shared" si="7"/>
        <v>9.2760530612069694E-3</v>
      </c>
      <c r="AH90" s="69">
        <f t="shared" si="9"/>
        <v>9.3616467589159973E-3</v>
      </c>
    </row>
    <row r="91" spans="2:34">
      <c r="B91" t="s">
        <v>97</v>
      </c>
      <c r="C91" s="69">
        <f t="shared" si="8"/>
        <v>4.0500263619239876E-2</v>
      </c>
      <c r="D91" s="69">
        <f t="shared" si="8"/>
        <v>3.9091040723455997E-2</v>
      </c>
      <c r="E91" s="69">
        <f t="shared" si="8"/>
        <v>3.8265555250310543E-2</v>
      </c>
      <c r="F91" s="69">
        <f t="shared" si="8"/>
        <v>3.6574933211448536E-2</v>
      </c>
      <c r="G91" s="69">
        <f t="shared" si="8"/>
        <v>3.6449749273147918E-2</v>
      </c>
      <c r="H91" s="69">
        <f t="shared" si="8"/>
        <v>3.5173579017742894E-2</v>
      </c>
      <c r="I91" s="69">
        <f t="shared" si="8"/>
        <v>3.4279214927039954E-2</v>
      </c>
      <c r="J91" s="69">
        <f t="shared" si="8"/>
        <v>3.0908631757257294E-2</v>
      </c>
      <c r="K91" s="69">
        <f t="shared" si="8"/>
        <v>3.1801045436140735E-2</v>
      </c>
      <c r="L91" s="69">
        <f t="shared" si="8"/>
        <v>3.1912758522088726E-2</v>
      </c>
      <c r="M91" s="69">
        <f t="shared" si="8"/>
        <v>2.9780727124098311E-2</v>
      </c>
      <c r="N91" s="69">
        <f t="shared" si="8"/>
        <v>2.8865030545214401E-2</v>
      </c>
      <c r="O91" s="69">
        <f t="shared" si="8"/>
        <v>3.3588976271397383E-2</v>
      </c>
      <c r="P91" s="69">
        <f t="shared" si="8"/>
        <v>3.587606059257141E-2</v>
      </c>
      <c r="Q91" s="69">
        <f t="shared" si="8"/>
        <v>3.7894369775202899E-2</v>
      </c>
      <c r="R91" s="69">
        <f t="shared" si="8"/>
        <v>3.6729624888039707E-2</v>
      </c>
      <c r="S91" s="69">
        <f t="shared" si="7"/>
        <v>3.4273480660296382E-2</v>
      </c>
      <c r="T91" s="69">
        <f t="shared" si="7"/>
        <v>3.5110610350979343E-2</v>
      </c>
      <c r="U91" s="69">
        <f t="shared" si="7"/>
        <v>3.6764569476510384E-2</v>
      </c>
      <c r="V91" s="69">
        <f t="shared" si="7"/>
        <v>3.848894595653668E-2</v>
      </c>
      <c r="W91" s="69">
        <f t="shared" si="7"/>
        <v>3.7033322892070814E-2</v>
      </c>
      <c r="X91" s="69">
        <f t="shared" si="7"/>
        <v>3.6320575277881517E-2</v>
      </c>
      <c r="Y91" s="69">
        <f t="shared" si="7"/>
        <v>3.6557335262045361E-2</v>
      </c>
      <c r="Z91" s="69">
        <f t="shared" si="7"/>
        <v>3.5231076724071733E-2</v>
      </c>
      <c r="AA91" s="69">
        <f t="shared" si="7"/>
        <v>3.4837224158616863E-2</v>
      </c>
      <c r="AB91" s="69">
        <f t="shared" si="7"/>
        <v>3.4394426265043201E-2</v>
      </c>
      <c r="AC91" s="69">
        <f t="shared" si="7"/>
        <v>3.6217250193848624E-2</v>
      </c>
      <c r="AD91" s="69">
        <f t="shared" si="7"/>
        <v>3.6576575448613785E-2</v>
      </c>
      <c r="AE91" s="69">
        <f t="shared" si="7"/>
        <v>3.0903134147746838E-2</v>
      </c>
      <c r="AF91" s="69">
        <f t="shared" si="7"/>
        <v>3.4133839232674205E-2</v>
      </c>
      <c r="AG91" s="69">
        <f t="shared" si="7"/>
        <v>3.2710966373869457E-2</v>
      </c>
      <c r="AH91" s="69">
        <f t="shared" si="9"/>
        <v>3.1949361930255542E-2</v>
      </c>
    </row>
    <row r="92" spans="2:34">
      <c r="B92" t="s">
        <v>100</v>
      </c>
      <c r="C92" s="69">
        <f t="shared" si="8"/>
        <v>4.545755852731094E-2</v>
      </c>
      <c r="D92" s="69">
        <f t="shared" si="8"/>
        <v>4.3432009170077925E-2</v>
      </c>
      <c r="E92" s="69">
        <f t="shared" si="8"/>
        <v>4.4339981691383909E-2</v>
      </c>
      <c r="F92" s="69">
        <f t="shared" si="8"/>
        <v>4.2398438848337855E-2</v>
      </c>
      <c r="G92" s="69">
        <f t="shared" si="8"/>
        <v>4.4334290226551915E-2</v>
      </c>
      <c r="H92" s="69">
        <f t="shared" si="8"/>
        <v>4.5923919067800183E-2</v>
      </c>
      <c r="I92" s="69">
        <f t="shared" si="8"/>
        <v>4.5846019963857787E-2</v>
      </c>
      <c r="J92" s="69">
        <f t="shared" si="8"/>
        <v>4.6507874585389006E-2</v>
      </c>
      <c r="K92" s="69">
        <f t="shared" si="8"/>
        <v>4.5819580384001427E-2</v>
      </c>
      <c r="L92" s="69">
        <f t="shared" si="8"/>
        <v>4.7759010360000714E-2</v>
      </c>
      <c r="M92" s="69">
        <f t="shared" si="8"/>
        <v>4.5256965466749656E-2</v>
      </c>
      <c r="N92" s="69">
        <f t="shared" si="8"/>
        <v>4.4226818556478129E-2</v>
      </c>
      <c r="O92" s="69">
        <f t="shared" si="8"/>
        <v>4.3277993442329167E-2</v>
      </c>
      <c r="P92" s="69">
        <f t="shared" si="8"/>
        <v>4.3180986427045605E-2</v>
      </c>
      <c r="Q92" s="69">
        <f t="shared" si="8"/>
        <v>4.2538984855910442E-2</v>
      </c>
      <c r="R92" s="69">
        <f t="shared" si="8"/>
        <v>4.1333960506162941E-2</v>
      </c>
      <c r="S92" s="69">
        <f t="shared" si="7"/>
        <v>3.9956126297342381E-2</v>
      </c>
      <c r="T92" s="69">
        <f t="shared" si="7"/>
        <v>3.9416716498990673E-2</v>
      </c>
      <c r="U92" s="69">
        <f t="shared" si="7"/>
        <v>3.9111198224725467E-2</v>
      </c>
      <c r="V92" s="69">
        <f t="shared" si="7"/>
        <v>3.7902835093541323E-2</v>
      </c>
      <c r="W92" s="69">
        <f t="shared" si="7"/>
        <v>3.9581793233817421E-2</v>
      </c>
      <c r="X92" s="69">
        <f t="shared" si="7"/>
        <v>3.9605313199246664E-2</v>
      </c>
      <c r="Y92" s="69">
        <f t="shared" si="7"/>
        <v>3.918456648245499E-2</v>
      </c>
      <c r="Z92" s="69">
        <f t="shared" si="7"/>
        <v>3.9208021525694477E-2</v>
      </c>
      <c r="AA92" s="69">
        <f t="shared" si="7"/>
        <v>3.9253466397103608E-2</v>
      </c>
      <c r="AB92" s="69">
        <f t="shared" si="7"/>
        <v>3.9050675727017543E-2</v>
      </c>
      <c r="AC92" s="69">
        <f t="shared" si="7"/>
        <v>3.8350725770153686E-2</v>
      </c>
      <c r="AD92" s="69">
        <f t="shared" si="7"/>
        <v>3.8627691499259834E-2</v>
      </c>
      <c r="AE92" s="69">
        <f t="shared" si="7"/>
        <v>3.9220347711326931E-2</v>
      </c>
      <c r="AF92" s="69">
        <f t="shared" si="7"/>
        <v>3.7717075341304925E-2</v>
      </c>
      <c r="AG92" s="69">
        <f t="shared" si="7"/>
        <v>3.8360225938904161E-2</v>
      </c>
      <c r="AH92" s="69">
        <f t="shared" si="9"/>
        <v>3.7351011964641113E-2</v>
      </c>
    </row>
    <row r="93" spans="2:34">
      <c r="B93" t="s">
        <v>101</v>
      </c>
      <c r="C93" s="69">
        <f t="shared" si="8"/>
        <v>1.8646132052533137E-2</v>
      </c>
      <c r="D93" s="69">
        <f t="shared" si="8"/>
        <v>1.7304744798610348E-2</v>
      </c>
      <c r="E93" s="69">
        <f t="shared" si="8"/>
        <v>1.8181569265620052E-2</v>
      </c>
      <c r="F93" s="69">
        <f t="shared" si="8"/>
        <v>1.8352229206712388E-2</v>
      </c>
      <c r="G93" s="69">
        <f t="shared" si="8"/>
        <v>1.9012454239711114E-2</v>
      </c>
      <c r="H93" s="69">
        <f t="shared" si="8"/>
        <v>1.8986520903000174E-2</v>
      </c>
      <c r="I93" s="69">
        <f t="shared" si="8"/>
        <v>2.0057412825000676E-2</v>
      </c>
      <c r="J93" s="69">
        <f t="shared" si="8"/>
        <v>1.9163050949069099E-2</v>
      </c>
      <c r="K93" s="69">
        <f t="shared" si="8"/>
        <v>1.8776353194818081E-2</v>
      </c>
      <c r="L93" s="69">
        <f t="shared" si="8"/>
        <v>1.9326328552286332E-2</v>
      </c>
      <c r="M93" s="69">
        <f t="shared" si="8"/>
        <v>2.1837583987769152E-2</v>
      </c>
      <c r="N93" s="69">
        <f t="shared" si="8"/>
        <v>2.8407632342839391E-2</v>
      </c>
      <c r="O93" s="69">
        <f t="shared" si="8"/>
        <v>2.3213239153118823E-2</v>
      </c>
      <c r="P93" s="69">
        <f t="shared" si="8"/>
        <v>1.789212399235876E-2</v>
      </c>
      <c r="Q93" s="69">
        <f t="shared" si="8"/>
        <v>1.7104499033997054E-2</v>
      </c>
      <c r="R93" s="69">
        <f t="shared" si="8"/>
        <v>1.9105231441117931E-2</v>
      </c>
      <c r="S93" s="69">
        <f t="shared" si="7"/>
        <v>1.9476768409537375E-2</v>
      </c>
      <c r="T93" s="69">
        <f t="shared" si="7"/>
        <v>2.0623165215675417E-2</v>
      </c>
      <c r="U93" s="69">
        <f t="shared" si="7"/>
        <v>2.3429608605447939E-2</v>
      </c>
      <c r="V93" s="69">
        <f t="shared" si="7"/>
        <v>2.0697073466144349E-2</v>
      </c>
      <c r="W93" s="69">
        <f t="shared" si="7"/>
        <v>2.1195213344444686E-2</v>
      </c>
      <c r="X93" s="69">
        <f t="shared" si="7"/>
        <v>2.1253196649074709E-2</v>
      </c>
      <c r="Y93" s="69">
        <f t="shared" si="7"/>
        <v>2.1830511613783247E-2</v>
      </c>
      <c r="Z93" s="69">
        <f t="shared" si="7"/>
        <v>2.2713654368361955E-2</v>
      </c>
      <c r="AA93" s="69">
        <f t="shared" si="7"/>
        <v>2.2103044107726778E-2</v>
      </c>
      <c r="AB93" s="69">
        <f t="shared" si="7"/>
        <v>2.1271809907572301E-2</v>
      </c>
      <c r="AC93" s="69">
        <f t="shared" si="7"/>
        <v>2.1422925288615773E-2</v>
      </c>
      <c r="AD93" s="69">
        <f t="shared" si="7"/>
        <v>2.2814325545394736E-2</v>
      </c>
      <c r="AE93" s="69">
        <f t="shared" si="7"/>
        <v>2.2037466764561319E-2</v>
      </c>
      <c r="AF93" s="69">
        <f t="shared" si="7"/>
        <v>2.1227345338956233E-2</v>
      </c>
      <c r="AG93" s="69">
        <f t="shared" si="7"/>
        <v>2.1562232164958485E-2</v>
      </c>
      <c r="AH93" s="69">
        <f t="shared" si="9"/>
        <v>2.129499710057255E-2</v>
      </c>
    </row>
    <row r="94" spans="2:34">
      <c r="B94" t="s">
        <v>103</v>
      </c>
      <c r="C94" s="69">
        <f t="shared" si="8"/>
        <v>1.5968857359589129E-2</v>
      </c>
      <c r="D94" s="69">
        <f t="shared" si="8"/>
        <v>1.6336453142093109E-2</v>
      </c>
      <c r="E94" s="69">
        <f t="shared" si="8"/>
        <v>1.5200577917034407E-2</v>
      </c>
      <c r="F94" s="69">
        <f t="shared" si="8"/>
        <v>1.4795160301000294E-2</v>
      </c>
      <c r="G94" s="69">
        <f t="shared" si="8"/>
        <v>1.3535589070071748E-2</v>
      </c>
      <c r="H94" s="69">
        <f t="shared" si="8"/>
        <v>1.3584793261355832E-2</v>
      </c>
      <c r="I94" s="69">
        <f t="shared" si="8"/>
        <v>1.4310791686244743E-2</v>
      </c>
      <c r="J94" s="69">
        <f t="shared" si="8"/>
        <v>1.3632454845814566E-2</v>
      </c>
      <c r="K94" s="69">
        <f t="shared" si="8"/>
        <v>1.39610322502687E-2</v>
      </c>
      <c r="L94" s="69">
        <f t="shared" si="8"/>
        <v>1.3497786106595073E-2</v>
      </c>
      <c r="M94" s="69">
        <f t="shared" si="8"/>
        <v>1.271139594684729E-2</v>
      </c>
      <c r="N94" s="69">
        <f t="shared" si="8"/>
        <v>1.2475602656823879E-2</v>
      </c>
      <c r="O94" s="69">
        <f t="shared" si="8"/>
        <v>1.3231400524801155E-2</v>
      </c>
      <c r="P94" s="69">
        <f t="shared" si="8"/>
        <v>1.3980798949791031E-2</v>
      </c>
      <c r="Q94" s="69">
        <f t="shared" si="8"/>
        <v>1.4047459577831723E-2</v>
      </c>
      <c r="R94" s="69">
        <f t="shared" si="8"/>
        <v>1.3763915759374168E-2</v>
      </c>
      <c r="S94" s="69">
        <f t="shared" si="7"/>
        <v>1.3641282623159967E-2</v>
      </c>
      <c r="T94" s="69">
        <f t="shared" si="7"/>
        <v>1.3826738274831546E-2</v>
      </c>
      <c r="U94" s="69">
        <f t="shared" si="7"/>
        <v>1.3954880634892562E-2</v>
      </c>
      <c r="V94" s="69">
        <f t="shared" si="7"/>
        <v>1.4243806317766899E-2</v>
      </c>
      <c r="W94" s="69">
        <f t="shared" si="7"/>
        <v>1.4122282912143763E-2</v>
      </c>
      <c r="X94" s="69">
        <f t="shared" si="7"/>
        <v>1.3965671131373985E-2</v>
      </c>
      <c r="Y94" s="69">
        <f t="shared" si="7"/>
        <v>1.3722740483927579E-2</v>
      </c>
      <c r="Z94" s="69">
        <f t="shared" si="7"/>
        <v>1.3630836529903483E-2</v>
      </c>
      <c r="AA94" s="69">
        <f t="shared" si="7"/>
        <v>1.3291888903248304E-2</v>
      </c>
      <c r="AB94" s="69">
        <f t="shared" si="7"/>
        <v>1.3502983119322864E-2</v>
      </c>
      <c r="AC94" s="69">
        <f t="shared" si="7"/>
        <v>1.3654446487918324E-2</v>
      </c>
      <c r="AD94" s="69">
        <f t="shared" si="7"/>
        <v>1.3646494939946574E-2</v>
      </c>
      <c r="AE94" s="69">
        <f t="shared" si="7"/>
        <v>1.3942386325367337E-2</v>
      </c>
      <c r="AF94" s="69">
        <f t="shared" si="7"/>
        <v>1.3068917052355264E-2</v>
      </c>
      <c r="AG94" s="69">
        <f t="shared" si="7"/>
        <v>1.4519574583161037E-2</v>
      </c>
      <c r="AH94" s="69">
        <f t="shared" si="9"/>
        <v>1.4396851975643084E-2</v>
      </c>
    </row>
    <row r="95" spans="2:34">
      <c r="B95" t="s">
        <v>104</v>
      </c>
      <c r="C95" s="69">
        <f t="shared" si="8"/>
        <v>4.3891625850166746E-2</v>
      </c>
      <c r="D95" s="69">
        <f t="shared" si="8"/>
        <v>4.5751889730490942E-2</v>
      </c>
      <c r="E95" s="69">
        <f t="shared" si="8"/>
        <v>4.5258743824492839E-2</v>
      </c>
      <c r="F95" s="69">
        <f t="shared" si="8"/>
        <v>4.6303945805570464E-2</v>
      </c>
      <c r="G95" s="69">
        <f t="shared" si="8"/>
        <v>4.5943395630170407E-2</v>
      </c>
      <c r="H95" s="69">
        <f t="shared" si="8"/>
        <v>4.5853709276747194E-2</v>
      </c>
      <c r="I95" s="69">
        <f t="shared" si="8"/>
        <v>4.3050929655813912E-2</v>
      </c>
      <c r="J95" s="69">
        <f t="shared" si="8"/>
        <v>4.2223173962111261E-2</v>
      </c>
      <c r="K95" s="69">
        <f t="shared" si="8"/>
        <v>4.2559846528744991E-2</v>
      </c>
      <c r="L95" s="69">
        <f t="shared" si="8"/>
        <v>4.2406171999604371E-2</v>
      </c>
      <c r="M95" s="69">
        <f t="shared" si="8"/>
        <v>4.1204483885799462E-2</v>
      </c>
      <c r="N95" s="69">
        <f t="shared" si="8"/>
        <v>4.1563742580092114E-2</v>
      </c>
      <c r="O95" s="69">
        <f t="shared" si="8"/>
        <v>3.9553556406174618E-2</v>
      </c>
      <c r="P95" s="69">
        <f t="shared" si="8"/>
        <v>3.9497800943164331E-2</v>
      </c>
      <c r="Q95" s="69">
        <f t="shared" si="8"/>
        <v>3.8900889990563639E-2</v>
      </c>
      <c r="R95" s="69">
        <f t="shared" si="8"/>
        <v>4.0342115841023908E-2</v>
      </c>
      <c r="S95" s="69">
        <f t="shared" si="7"/>
        <v>3.9984509471288066E-2</v>
      </c>
      <c r="T95" s="69">
        <f t="shared" si="7"/>
        <v>3.83827606483906E-2</v>
      </c>
      <c r="U95" s="69">
        <f t="shared" si="7"/>
        <v>3.8888562424757758E-2</v>
      </c>
      <c r="V95" s="69">
        <f t="shared" si="7"/>
        <v>3.9874044099584539E-2</v>
      </c>
      <c r="W95" s="69">
        <f t="shared" si="7"/>
        <v>4.0904413480787667E-2</v>
      </c>
      <c r="X95" s="69">
        <f t="shared" si="7"/>
        <v>4.146403744702782E-2</v>
      </c>
      <c r="Y95" s="69">
        <f t="shared" si="7"/>
        <v>4.0894637595528582E-2</v>
      </c>
      <c r="Z95" s="69">
        <f t="shared" si="7"/>
        <v>4.0367065291121357E-2</v>
      </c>
      <c r="AA95" s="69">
        <f t="shared" si="7"/>
        <v>4.0087196684902231E-2</v>
      </c>
      <c r="AB95" s="69">
        <f t="shared" si="7"/>
        <v>3.8130641619795139E-2</v>
      </c>
      <c r="AC95" s="69">
        <f t="shared" si="7"/>
        <v>3.6039607431223121E-2</v>
      </c>
      <c r="AD95" s="69">
        <f t="shared" si="7"/>
        <v>3.6076791612860072E-2</v>
      </c>
      <c r="AE95" s="69">
        <f t="shared" si="7"/>
        <v>3.4985524037131253E-2</v>
      </c>
      <c r="AF95" s="69">
        <f t="shared" si="7"/>
        <v>3.5624334677494637E-2</v>
      </c>
      <c r="AG95" s="69">
        <f t="shared" si="7"/>
        <v>3.519750099324024E-2</v>
      </c>
      <c r="AH95" s="69">
        <f t="shared" si="9"/>
        <v>3.5193010008160587E-2</v>
      </c>
    </row>
    <row r="96" spans="2:34">
      <c r="B96" t="s">
        <v>105</v>
      </c>
      <c r="C96" s="69">
        <f t="shared" si="8"/>
        <v>1.9234711297239867E-3</v>
      </c>
      <c r="D96" s="69">
        <f t="shared" si="8"/>
        <v>1.8305772897228396E-3</v>
      </c>
      <c r="E96" s="69">
        <f t="shared" si="8"/>
        <v>1.8224192015946568E-3</v>
      </c>
      <c r="F96" s="69">
        <f t="shared" si="8"/>
        <v>1.6255497615820791E-3</v>
      </c>
      <c r="G96" s="69">
        <f t="shared" si="8"/>
        <v>1.6767593004332671E-3</v>
      </c>
      <c r="H96" s="69">
        <f t="shared" si="8"/>
        <v>1.6969019662595403E-3</v>
      </c>
      <c r="I96" s="69">
        <f t="shared" si="8"/>
        <v>1.6442638978203701E-3</v>
      </c>
      <c r="J96" s="69">
        <f t="shared" si="8"/>
        <v>1.4846507221393504E-3</v>
      </c>
      <c r="K96" s="69">
        <f t="shared" si="8"/>
        <v>1.6232918783931891E-3</v>
      </c>
      <c r="L96" s="69">
        <f t="shared" si="8"/>
        <v>1.7501297146853571E-3</v>
      </c>
      <c r="M96" s="69">
        <f t="shared" si="8"/>
        <v>1.627398320487302E-3</v>
      </c>
      <c r="N96" s="69">
        <f t="shared" si="8"/>
        <v>1.6511712448097622E-3</v>
      </c>
      <c r="O96" s="69">
        <f t="shared" si="8"/>
        <v>1.5825241347655044E-3</v>
      </c>
      <c r="P96" s="69">
        <f t="shared" si="8"/>
        <v>1.5633425891161095E-3</v>
      </c>
      <c r="Q96" s="69">
        <f t="shared" si="8"/>
        <v>1.5604034872319465E-3</v>
      </c>
      <c r="R96" s="69">
        <f t="shared" si="8"/>
        <v>1.4903238255728963E-3</v>
      </c>
      <c r="S96" s="69">
        <f t="shared" si="7"/>
        <v>1.4385131287268972E-3</v>
      </c>
      <c r="T96" s="69">
        <f t="shared" si="7"/>
        <v>1.5346288045781024E-3</v>
      </c>
      <c r="U96" s="69">
        <f t="shared" si="7"/>
        <v>1.5167169792891725E-3</v>
      </c>
      <c r="V96" s="69">
        <f t="shared" si="7"/>
        <v>1.5916117729835081E-3</v>
      </c>
      <c r="W96" s="69">
        <f t="shared" si="7"/>
        <v>1.7057114091860799E-3</v>
      </c>
      <c r="X96" s="69">
        <f t="shared" si="7"/>
        <v>1.6651981173704099E-3</v>
      </c>
      <c r="Y96" s="69">
        <f t="shared" si="7"/>
        <v>1.537725373816501E-3</v>
      </c>
      <c r="Z96" s="69">
        <f t="shared" si="7"/>
        <v>1.5596715764541402E-3</v>
      </c>
      <c r="AA96" s="69">
        <f t="shared" si="7"/>
        <v>1.8502325469891177E-3</v>
      </c>
      <c r="AB96" s="69">
        <f t="shared" si="7"/>
        <v>1.6599657466622075E-3</v>
      </c>
      <c r="AC96" s="69">
        <f t="shared" si="7"/>
        <v>1.3202010313468496E-3</v>
      </c>
      <c r="AD96" s="69">
        <f t="shared" si="7"/>
        <v>1.478460749255125E-3</v>
      </c>
      <c r="AE96" s="69">
        <f t="shared" si="7"/>
        <v>1.5129350454855231E-3</v>
      </c>
      <c r="AF96" s="69">
        <f t="shared" si="7"/>
        <v>1.6074519581256977E-3</v>
      </c>
      <c r="AG96" s="69">
        <f t="shared" si="7"/>
        <v>1.49634683138477E-3</v>
      </c>
      <c r="AH96" s="69">
        <f t="shared" si="9"/>
        <v>1.6993654518497236E-3</v>
      </c>
    </row>
    <row r="97" spans="2:34">
      <c r="B97" t="s">
        <v>106</v>
      </c>
      <c r="C97" s="69">
        <f t="shared" si="8"/>
        <v>1.9911014431616331E-2</v>
      </c>
      <c r="D97" s="69">
        <f t="shared" si="8"/>
        <v>1.7060674283539235E-2</v>
      </c>
      <c r="E97" s="69">
        <f t="shared" si="8"/>
        <v>1.7744708892091426E-2</v>
      </c>
      <c r="F97" s="69">
        <f t="shared" si="8"/>
        <v>1.7378459077326207E-2</v>
      </c>
      <c r="G97" s="69">
        <f t="shared" si="8"/>
        <v>2.0844515405511774E-2</v>
      </c>
      <c r="H97" s="69">
        <f t="shared" si="8"/>
        <v>1.7690768683121121E-2</v>
      </c>
      <c r="I97" s="69">
        <f t="shared" si="8"/>
        <v>1.6981215576365692E-2</v>
      </c>
      <c r="J97" s="69">
        <f t="shared" si="8"/>
        <v>1.6582126513130058E-2</v>
      </c>
      <c r="K97" s="69">
        <f t="shared" si="8"/>
        <v>1.875432595178889E-2</v>
      </c>
      <c r="L97" s="69">
        <f t="shared" si="8"/>
        <v>1.8635227261758407E-2</v>
      </c>
      <c r="M97" s="69">
        <f t="shared" si="8"/>
        <v>1.8583686180485923E-2</v>
      </c>
      <c r="N97" s="69">
        <f t="shared" si="8"/>
        <v>1.860499632531901E-2</v>
      </c>
      <c r="O97" s="69">
        <f t="shared" si="8"/>
        <v>1.7909326108927915E-2</v>
      </c>
      <c r="P97" s="69">
        <f t="shared" si="8"/>
        <v>1.7908287783778582E-2</v>
      </c>
      <c r="Q97" s="69">
        <f t="shared" si="8"/>
        <v>1.9010323297302185E-2</v>
      </c>
      <c r="R97" s="69">
        <f t="shared" ref="R97:AH107" si="10">SUMIF($B$3:$B$53,$B97,R$3:R$53)/R$54</f>
        <v>1.7796084438012942E-2</v>
      </c>
      <c r="S97" s="69">
        <f t="shared" si="10"/>
        <v>1.7642312498395964E-2</v>
      </c>
      <c r="T97" s="69">
        <f t="shared" si="10"/>
        <v>1.788846600304371E-2</v>
      </c>
      <c r="U97" s="69">
        <f t="shared" si="10"/>
        <v>1.7511897539408332E-2</v>
      </c>
      <c r="V97" s="69">
        <f t="shared" si="10"/>
        <v>1.8212347052821164E-2</v>
      </c>
      <c r="W97" s="69">
        <f t="shared" si="10"/>
        <v>1.8039561306547731E-2</v>
      </c>
      <c r="X97" s="69">
        <f t="shared" si="10"/>
        <v>1.95609726180422E-2</v>
      </c>
      <c r="Y97" s="69">
        <f t="shared" si="10"/>
        <v>1.7708379364541341E-2</v>
      </c>
      <c r="Z97" s="69">
        <f t="shared" si="10"/>
        <v>2.0050581053733276E-2</v>
      </c>
      <c r="AA97" s="69">
        <f t="shared" si="10"/>
        <v>1.720748501838951E-2</v>
      </c>
      <c r="AB97" s="69">
        <f t="shared" si="10"/>
        <v>1.8746439740583588E-2</v>
      </c>
      <c r="AC97" s="69">
        <f t="shared" si="10"/>
        <v>2.0377686668731521E-2</v>
      </c>
      <c r="AD97" s="69">
        <f t="shared" si="10"/>
        <v>1.9969149672761869E-2</v>
      </c>
      <c r="AE97" s="69">
        <f t="shared" si="10"/>
        <v>1.9529736293982813E-2</v>
      </c>
      <c r="AF97" s="69">
        <f t="shared" si="10"/>
        <v>2.0087969876264242E-2</v>
      </c>
      <c r="AG97" s="69">
        <f t="shared" si="10"/>
        <v>2.0278746375805859E-2</v>
      </c>
      <c r="AH97" s="69">
        <f t="shared" si="10"/>
        <v>2.0657660422657202E-2</v>
      </c>
    </row>
    <row r="98" spans="2:34">
      <c r="B98" t="s">
        <v>107</v>
      </c>
      <c r="C98" s="69">
        <f t="shared" ref="C98:R107" si="11">SUMIF($B$3:$B$53,$B98,C$3:C$53)/C$54</f>
        <v>4.7537679460016588E-3</v>
      </c>
      <c r="D98" s="69">
        <f t="shared" si="11"/>
        <v>4.9415078230895552E-3</v>
      </c>
      <c r="E98" s="69">
        <f t="shared" si="11"/>
        <v>4.8704021963037773E-3</v>
      </c>
      <c r="F98" s="69">
        <f t="shared" si="11"/>
        <v>4.8532109873990967E-3</v>
      </c>
      <c r="G98" s="69">
        <f t="shared" si="11"/>
        <v>5.4615218064369541E-3</v>
      </c>
      <c r="H98" s="69">
        <f t="shared" si="11"/>
        <v>5.2490976610943627E-3</v>
      </c>
      <c r="I98" s="69">
        <f t="shared" si="11"/>
        <v>5.2664382023853628E-3</v>
      </c>
      <c r="J98" s="69">
        <f t="shared" si="11"/>
        <v>4.8188891117981799E-3</v>
      </c>
      <c r="K98" s="69">
        <f t="shared" si="11"/>
        <v>4.7334723467672354E-3</v>
      </c>
      <c r="L98" s="69">
        <f t="shared" si="11"/>
        <v>4.5847356246105269E-3</v>
      </c>
      <c r="M98" s="69">
        <f t="shared" si="11"/>
        <v>4.4082099948748506E-3</v>
      </c>
      <c r="N98" s="69">
        <f t="shared" si="11"/>
        <v>4.4858951803728722E-3</v>
      </c>
      <c r="O98" s="69">
        <f t="shared" si="11"/>
        <v>4.5683655573527044E-3</v>
      </c>
      <c r="P98" s="69">
        <f t="shared" si="11"/>
        <v>4.7347977766236176E-3</v>
      </c>
      <c r="Q98" s="69">
        <f t="shared" si="11"/>
        <v>4.7219820529505446E-3</v>
      </c>
      <c r="R98" s="69">
        <f t="shared" si="11"/>
        <v>4.7790436660943379E-3</v>
      </c>
      <c r="S98" s="69">
        <f t="shared" si="10"/>
        <v>4.7863808253253331E-3</v>
      </c>
      <c r="T98" s="69">
        <f t="shared" si="10"/>
        <v>5.1868197869384038E-3</v>
      </c>
      <c r="U98" s="69">
        <f t="shared" si="10"/>
        <v>5.3130824891418375E-3</v>
      </c>
      <c r="V98" s="69">
        <f t="shared" si="10"/>
        <v>5.6556396493963818E-3</v>
      </c>
      <c r="W98" s="69">
        <f t="shared" si="10"/>
        <v>5.6747932935365579E-3</v>
      </c>
      <c r="X98" s="69">
        <f t="shared" si="10"/>
        <v>5.5991886912418352E-3</v>
      </c>
      <c r="Y98" s="69">
        <f t="shared" si="10"/>
        <v>6.1023778858517955E-3</v>
      </c>
      <c r="Z98" s="69">
        <f t="shared" si="10"/>
        <v>5.6860989189567619E-3</v>
      </c>
      <c r="AA98" s="69">
        <f t="shared" si="10"/>
        <v>5.8060697216900121E-3</v>
      </c>
      <c r="AB98" s="69">
        <f t="shared" si="10"/>
        <v>5.6936357375837951E-3</v>
      </c>
      <c r="AC98" s="69">
        <f t="shared" si="10"/>
        <v>5.5880213249537838E-3</v>
      </c>
      <c r="AD98" s="69">
        <f t="shared" si="10"/>
        <v>5.5606227171542131E-3</v>
      </c>
      <c r="AE98" s="69">
        <f t="shared" si="10"/>
        <v>5.5464957555224192E-3</v>
      </c>
      <c r="AF98" s="69">
        <f t="shared" si="10"/>
        <v>5.465491476449735E-3</v>
      </c>
      <c r="AG98" s="69">
        <f t="shared" si="10"/>
        <v>5.9732967420289195E-3</v>
      </c>
      <c r="AH98" s="69">
        <f t="shared" si="10"/>
        <v>5.8079878247708694E-3</v>
      </c>
    </row>
    <row r="99" spans="2:34">
      <c r="B99" t="s">
        <v>108</v>
      </c>
      <c r="C99" s="69">
        <f t="shared" si="11"/>
        <v>2.8638646312023133E-2</v>
      </c>
      <c r="D99" s="69">
        <f t="shared" si="11"/>
        <v>2.7989076875916778E-2</v>
      </c>
      <c r="E99" s="69">
        <f t="shared" si="11"/>
        <v>2.7375168734067808E-2</v>
      </c>
      <c r="F99" s="69">
        <f t="shared" si="11"/>
        <v>2.7474219568274193E-2</v>
      </c>
      <c r="G99" s="69">
        <f t="shared" si="11"/>
        <v>2.6967073818311604E-2</v>
      </c>
      <c r="H99" s="69">
        <f t="shared" si="11"/>
        <v>2.785802404998235E-2</v>
      </c>
      <c r="I99" s="69">
        <f t="shared" si="11"/>
        <v>2.7828224845199728E-2</v>
      </c>
      <c r="J99" s="69">
        <f t="shared" si="11"/>
        <v>2.6470192898109993E-2</v>
      </c>
      <c r="K99" s="69">
        <f t="shared" si="11"/>
        <v>2.7255649308801675E-2</v>
      </c>
      <c r="L99" s="69">
        <f t="shared" si="11"/>
        <v>2.6997922684657113E-2</v>
      </c>
      <c r="M99" s="69">
        <f t="shared" si="11"/>
        <v>2.6686492141526998E-2</v>
      </c>
      <c r="N99" s="69">
        <f t="shared" si="11"/>
        <v>2.6031625364706955E-2</v>
      </c>
      <c r="O99" s="69">
        <f t="shared" si="11"/>
        <v>2.6017947082622093E-2</v>
      </c>
      <c r="P99" s="69">
        <f t="shared" si="11"/>
        <v>2.7493643354663384E-2</v>
      </c>
      <c r="Q99" s="69">
        <f t="shared" si="11"/>
        <v>2.6542386218548954E-2</v>
      </c>
      <c r="R99" s="69">
        <f t="shared" si="11"/>
        <v>2.6934621885940268E-2</v>
      </c>
      <c r="S99" s="69">
        <f t="shared" si="10"/>
        <v>2.5963346248508854E-2</v>
      </c>
      <c r="T99" s="69">
        <f t="shared" si="10"/>
        <v>2.604918996534691E-2</v>
      </c>
      <c r="U99" s="69">
        <f t="shared" si="10"/>
        <v>2.5905942413350494E-2</v>
      </c>
      <c r="V99" s="69">
        <f t="shared" si="10"/>
        <v>2.3419887256972492E-2</v>
      </c>
      <c r="W99" s="69">
        <f t="shared" si="10"/>
        <v>2.4321854489175662E-2</v>
      </c>
      <c r="X99" s="69">
        <f t="shared" si="10"/>
        <v>2.4079908696824262E-2</v>
      </c>
      <c r="Y99" s="69">
        <f t="shared" si="10"/>
        <v>2.3598966082978724E-2</v>
      </c>
      <c r="Z99" s="69">
        <f t="shared" si="10"/>
        <v>2.3090398347635169E-2</v>
      </c>
      <c r="AA99" s="69">
        <f t="shared" si="10"/>
        <v>2.3400251680379014E-2</v>
      </c>
      <c r="AB99" s="69">
        <f t="shared" si="10"/>
        <v>2.4125188370632111E-2</v>
      </c>
      <c r="AC99" s="69">
        <f t="shared" si="10"/>
        <v>2.3400559055631952E-2</v>
      </c>
      <c r="AD99" s="69">
        <f t="shared" si="10"/>
        <v>2.3296970049944854E-2</v>
      </c>
      <c r="AE99" s="69">
        <f t="shared" si="10"/>
        <v>2.407917471877867E-2</v>
      </c>
      <c r="AF99" s="69">
        <f t="shared" si="10"/>
        <v>2.5747394695196799E-2</v>
      </c>
      <c r="AG99" s="69">
        <f t="shared" si="10"/>
        <v>2.519160117004416E-2</v>
      </c>
      <c r="AH99" s="69">
        <f t="shared" si="10"/>
        <v>2.5485705235556835E-2</v>
      </c>
    </row>
    <row r="100" spans="2:34">
      <c r="B100" t="s">
        <v>109</v>
      </c>
      <c r="C100" s="69">
        <f t="shared" si="11"/>
        <v>6.7194756316273169E-2</v>
      </c>
      <c r="D100" s="69">
        <f t="shared" si="11"/>
        <v>7.613169541355666E-2</v>
      </c>
      <c r="E100" s="69">
        <f t="shared" si="11"/>
        <v>7.4591775360764612E-2</v>
      </c>
      <c r="F100" s="69">
        <f t="shared" si="11"/>
        <v>7.2286252052652336E-2</v>
      </c>
      <c r="G100" s="69">
        <f t="shared" si="11"/>
        <v>7.7166940998845787E-2</v>
      </c>
      <c r="H100" s="69">
        <f t="shared" si="11"/>
        <v>7.5041102299824733E-2</v>
      </c>
      <c r="I100" s="69">
        <f t="shared" si="11"/>
        <v>7.9790520654235808E-2</v>
      </c>
      <c r="J100" s="69">
        <f t="shared" si="11"/>
        <v>7.7349928398942655E-2</v>
      </c>
      <c r="K100" s="69">
        <f t="shared" si="11"/>
        <v>8.1361977891405229E-2</v>
      </c>
      <c r="L100" s="69">
        <f t="shared" si="11"/>
        <v>8.0830175239870308E-2</v>
      </c>
      <c r="M100" s="69">
        <f t="shared" si="11"/>
        <v>8.4633940691237863E-2</v>
      </c>
      <c r="N100" s="69">
        <f t="shared" si="11"/>
        <v>8.9623282932213499E-2</v>
      </c>
      <c r="O100" s="69">
        <f t="shared" si="11"/>
        <v>8.9869818245666769E-2</v>
      </c>
      <c r="P100" s="69">
        <f t="shared" si="11"/>
        <v>9.4400774589338141E-2</v>
      </c>
      <c r="Q100" s="69">
        <f t="shared" si="11"/>
        <v>9.3150343221573034E-2</v>
      </c>
      <c r="R100" s="69">
        <f t="shared" si="11"/>
        <v>9.3926810239880823E-2</v>
      </c>
      <c r="S100" s="69">
        <f t="shared" si="10"/>
        <v>0.10110986939574791</v>
      </c>
      <c r="T100" s="69">
        <f t="shared" si="10"/>
        <v>0.10575818766394311</v>
      </c>
      <c r="U100" s="69">
        <f t="shared" si="10"/>
        <v>0.11177851608431633</v>
      </c>
      <c r="V100" s="69">
        <f t="shared" si="10"/>
        <v>0.10609242952762805</v>
      </c>
      <c r="W100" s="69">
        <f t="shared" si="10"/>
        <v>0.10703161931710387</v>
      </c>
      <c r="X100" s="69">
        <f t="shared" si="10"/>
        <v>0.11319636638936026</v>
      </c>
      <c r="Y100" s="69">
        <f t="shared" si="10"/>
        <v>0.11861173452218482</v>
      </c>
      <c r="Z100" s="69">
        <f t="shared" si="10"/>
        <v>0.12361994930943525</v>
      </c>
      <c r="AA100" s="69">
        <f t="shared" si="10"/>
        <v>0.13335323058147272</v>
      </c>
      <c r="AB100" s="69">
        <f t="shared" si="10"/>
        <v>0.12837714242941814</v>
      </c>
      <c r="AC100" s="69">
        <f t="shared" si="10"/>
        <v>0.12867702471887696</v>
      </c>
      <c r="AD100" s="69">
        <f t="shared" si="10"/>
        <v>0.13103546249547396</v>
      </c>
      <c r="AE100" s="69">
        <f t="shared" si="10"/>
        <v>0.13652538275524079</v>
      </c>
      <c r="AF100" s="69">
        <f t="shared" si="10"/>
        <v>0.13620151746124087</v>
      </c>
      <c r="AG100" s="69">
        <f t="shared" si="10"/>
        <v>0.12905825085742983</v>
      </c>
      <c r="AH100" s="69">
        <f t="shared" si="10"/>
        <v>0.13176354780501634</v>
      </c>
    </row>
    <row r="101" spans="2:34">
      <c r="B101" t="s">
        <v>112</v>
      </c>
      <c r="C101" s="69">
        <f t="shared" si="11"/>
        <v>8.5239635801692935E-3</v>
      </c>
      <c r="D101" s="69">
        <f t="shared" si="11"/>
        <v>8.3391243582858314E-3</v>
      </c>
      <c r="E101" s="69">
        <f t="shared" si="11"/>
        <v>8.2975177495917974E-3</v>
      </c>
      <c r="F101" s="69">
        <f t="shared" si="11"/>
        <v>8.0992668263239961E-3</v>
      </c>
      <c r="G101" s="69">
        <f t="shared" si="11"/>
        <v>8.4020018398520968E-3</v>
      </c>
      <c r="H101" s="69">
        <f t="shared" si="11"/>
        <v>9.9232000279618118E-3</v>
      </c>
      <c r="I101" s="69">
        <f t="shared" si="11"/>
        <v>9.4552813900725327E-3</v>
      </c>
      <c r="J101" s="69">
        <f t="shared" si="11"/>
        <v>1.0037552069514313E-2</v>
      </c>
      <c r="K101" s="69">
        <f t="shared" si="11"/>
        <v>1.010808652221565E-2</v>
      </c>
      <c r="L101" s="69">
        <f t="shared" si="11"/>
        <v>9.4486759198773793E-3</v>
      </c>
      <c r="M101" s="69">
        <f t="shared" si="11"/>
        <v>1.0144117196408285E-2</v>
      </c>
      <c r="N101" s="69">
        <f t="shared" si="11"/>
        <v>1.0127379449977837E-2</v>
      </c>
      <c r="O101" s="69">
        <f t="shared" si="11"/>
        <v>1.0202942839830977E-2</v>
      </c>
      <c r="P101" s="69">
        <f t="shared" si="11"/>
        <v>1.0007574256074283E-2</v>
      </c>
      <c r="Q101" s="69">
        <f t="shared" si="11"/>
        <v>9.8420426101410545E-3</v>
      </c>
      <c r="R101" s="69">
        <f t="shared" si="11"/>
        <v>1.0068532447027705E-2</v>
      </c>
      <c r="S101" s="69">
        <f t="shared" si="10"/>
        <v>1.2553369034111861E-2</v>
      </c>
      <c r="T101" s="69">
        <f t="shared" si="10"/>
        <v>1.2083798137393633E-2</v>
      </c>
      <c r="U101" s="69">
        <f t="shared" si="10"/>
        <v>1.1695610142020774E-2</v>
      </c>
      <c r="V101" s="69">
        <f t="shared" si="10"/>
        <v>1.1632255321784381E-2</v>
      </c>
      <c r="W101" s="69">
        <f t="shared" si="10"/>
        <v>1.1247333855745431E-2</v>
      </c>
      <c r="X101" s="69">
        <f t="shared" si="10"/>
        <v>1.306099448335947E-2</v>
      </c>
      <c r="Y101" s="69">
        <f t="shared" si="10"/>
        <v>1.2679861155779145E-2</v>
      </c>
      <c r="Z101" s="69">
        <f t="shared" si="10"/>
        <v>1.2478389499666316E-2</v>
      </c>
      <c r="AA101" s="69">
        <f t="shared" si="10"/>
        <v>1.1458024747193979E-2</v>
      </c>
      <c r="AB101" s="69">
        <f t="shared" si="10"/>
        <v>1.1479169030147422E-2</v>
      </c>
      <c r="AC101" s="69">
        <f t="shared" si="10"/>
        <v>1.1447866496659468E-2</v>
      </c>
      <c r="AD101" s="69">
        <f t="shared" si="10"/>
        <v>1.1733009360114675E-2</v>
      </c>
      <c r="AE101" s="69">
        <f t="shared" si="10"/>
        <v>1.1467185322405734E-2</v>
      </c>
      <c r="AF101" s="69">
        <f t="shared" si="10"/>
        <v>1.1003793334357566E-2</v>
      </c>
      <c r="AG101" s="69">
        <f t="shared" si="10"/>
        <v>1.2619779049951995E-2</v>
      </c>
      <c r="AH101" s="69">
        <f t="shared" si="10"/>
        <v>1.1795759390267313E-2</v>
      </c>
    </row>
    <row r="102" spans="2:34">
      <c r="B102" t="s">
        <v>114</v>
      </c>
      <c r="C102" s="69">
        <f t="shared" si="11"/>
        <v>2.5766937412491062E-2</v>
      </c>
      <c r="D102" s="69">
        <f t="shared" si="11"/>
        <v>2.6818410083986409E-2</v>
      </c>
      <c r="E102" s="69">
        <f t="shared" si="11"/>
        <v>2.7045504121264007E-2</v>
      </c>
      <c r="F102" s="69">
        <f t="shared" si="11"/>
        <v>2.6683759811449281E-2</v>
      </c>
      <c r="G102" s="69">
        <f t="shared" si="11"/>
        <v>2.7115459245344233E-2</v>
      </c>
      <c r="H102" s="69">
        <f t="shared" si="11"/>
        <v>2.636476863527162E-2</v>
      </c>
      <c r="I102" s="69">
        <f t="shared" si="11"/>
        <v>2.8006240831808509E-2</v>
      </c>
      <c r="J102" s="69">
        <f t="shared" si="11"/>
        <v>2.8460897229136209E-2</v>
      </c>
      <c r="K102" s="69">
        <f t="shared" si="11"/>
        <v>2.974641707846018E-2</v>
      </c>
      <c r="L102" s="69">
        <f t="shared" si="11"/>
        <v>2.9945006489181625E-2</v>
      </c>
      <c r="M102" s="69">
        <f t="shared" si="11"/>
        <v>2.9828754804340982E-2</v>
      </c>
      <c r="N102" s="69">
        <f t="shared" si="11"/>
        <v>2.8158657382671037E-2</v>
      </c>
      <c r="O102" s="69">
        <f t="shared" si="11"/>
        <v>2.6921314075038612E-2</v>
      </c>
      <c r="P102" s="69">
        <f t="shared" si="11"/>
        <v>2.8916199036439178E-2</v>
      </c>
      <c r="Q102" s="69">
        <f t="shared" si="11"/>
        <v>2.9907795969962448E-2</v>
      </c>
      <c r="R102" s="69">
        <f t="shared" si="11"/>
        <v>2.7963514986833742E-2</v>
      </c>
      <c r="S102" s="69">
        <f t="shared" si="10"/>
        <v>2.7543051949912828E-2</v>
      </c>
      <c r="T102" s="69">
        <f t="shared" si="10"/>
        <v>2.7751894827687959E-2</v>
      </c>
      <c r="U102" s="69">
        <f t="shared" si="10"/>
        <v>2.6798973916887521E-2</v>
      </c>
      <c r="V102" s="69">
        <f t="shared" si="10"/>
        <v>2.7197636435823465E-2</v>
      </c>
      <c r="W102" s="69">
        <f t="shared" si="10"/>
        <v>2.7289204262379449E-2</v>
      </c>
      <c r="X102" s="69">
        <f t="shared" si="10"/>
        <v>2.5463032746853777E-2</v>
      </c>
      <c r="Y102" s="69">
        <f t="shared" si="10"/>
        <v>2.6825973361863639E-2</v>
      </c>
      <c r="Z102" s="69">
        <f t="shared" si="10"/>
        <v>2.6196026549121364E-2</v>
      </c>
      <c r="AA102" s="69">
        <f t="shared" si="10"/>
        <v>2.5570020400555175E-2</v>
      </c>
      <c r="AB102" s="69">
        <f t="shared" si="10"/>
        <v>2.49256054889322E-2</v>
      </c>
      <c r="AC102" s="69">
        <f t="shared" si="10"/>
        <v>2.5193548646437233E-2</v>
      </c>
      <c r="AD102" s="69">
        <f t="shared" si="10"/>
        <v>2.462042653300708E-2</v>
      </c>
      <c r="AE102" s="69">
        <f t="shared" si="10"/>
        <v>2.4331738635451561E-2</v>
      </c>
      <c r="AF102" s="69">
        <f t="shared" si="10"/>
        <v>2.3756652314354702E-2</v>
      </c>
      <c r="AG102" s="69">
        <f t="shared" si="10"/>
        <v>2.7000514624836585E-2</v>
      </c>
      <c r="AH102" s="69">
        <f t="shared" si="10"/>
        <v>2.6299840315329625E-2</v>
      </c>
    </row>
    <row r="103" spans="2:34">
      <c r="B103" t="s">
        <v>113</v>
      </c>
      <c r="C103" s="69">
        <f t="shared" si="11"/>
        <v>1.9717145577700683E-3</v>
      </c>
      <c r="D103" s="69">
        <f t="shared" si="11"/>
        <v>2.3158611451846679E-3</v>
      </c>
      <c r="E103" s="69">
        <f t="shared" si="11"/>
        <v>2.7299095795315876E-3</v>
      </c>
      <c r="F103" s="69">
        <f t="shared" si="11"/>
        <v>2.9910319055835872E-3</v>
      </c>
      <c r="G103" s="69">
        <f t="shared" si="11"/>
        <v>2.9399235383767127E-3</v>
      </c>
      <c r="H103" s="69">
        <f t="shared" si="11"/>
        <v>3.3135968777400658E-3</v>
      </c>
      <c r="I103" s="69">
        <f t="shared" si="11"/>
        <v>3.5385233590478991E-3</v>
      </c>
      <c r="J103" s="69">
        <f t="shared" si="11"/>
        <v>2.648863196069935E-3</v>
      </c>
      <c r="K103" s="69">
        <f t="shared" si="11"/>
        <v>2.55161595829703E-3</v>
      </c>
      <c r="L103" s="69">
        <f t="shared" si="11"/>
        <v>1.820863236031336E-3</v>
      </c>
      <c r="M103" s="69">
        <f t="shared" si="11"/>
        <v>1.5925235732618069E-3</v>
      </c>
      <c r="N103" s="69">
        <f t="shared" si="11"/>
        <v>2.109258796418417E-3</v>
      </c>
      <c r="O103" s="69">
        <f t="shared" si="11"/>
        <v>1.8527146889830953E-3</v>
      </c>
      <c r="P103" s="69">
        <f t="shared" si="11"/>
        <v>1.9049127614042295E-3</v>
      </c>
      <c r="Q103" s="69">
        <f t="shared" si="11"/>
        <v>1.6657189435655053E-3</v>
      </c>
      <c r="R103" s="69">
        <f t="shared" si="11"/>
        <v>1.6091396164292862E-3</v>
      </c>
      <c r="S103" s="69">
        <f t="shared" si="10"/>
        <v>1.6561008347920447E-3</v>
      </c>
      <c r="T103" s="69">
        <f t="shared" si="10"/>
        <v>1.6140205296016508E-3</v>
      </c>
      <c r="U103" s="69">
        <f t="shared" si="10"/>
        <v>1.5775702402599837E-3</v>
      </c>
      <c r="V103" s="69">
        <f t="shared" si="10"/>
        <v>1.5407629707638278E-3</v>
      </c>
      <c r="W103" s="69">
        <f t="shared" si="10"/>
        <v>1.6127338944167664E-3</v>
      </c>
      <c r="X103" s="69">
        <f t="shared" si="10"/>
        <v>1.5808813261484374E-3</v>
      </c>
      <c r="Y103" s="69">
        <f t="shared" si="10"/>
        <v>1.6033763905867111E-3</v>
      </c>
      <c r="Z103" s="69">
        <f t="shared" si="10"/>
        <v>1.5644170539423901E-3</v>
      </c>
      <c r="AA103" s="69">
        <f t="shared" si="10"/>
        <v>1.4694785917059501E-3</v>
      </c>
      <c r="AB103" s="69">
        <f t="shared" si="10"/>
        <v>1.6274704955040566E-3</v>
      </c>
      <c r="AC103" s="69">
        <f t="shared" si="10"/>
        <v>1.7342742879097634E-3</v>
      </c>
      <c r="AD103" s="69">
        <f t="shared" si="10"/>
        <v>1.6754106563826928E-3</v>
      </c>
      <c r="AE103" s="69">
        <f t="shared" si="10"/>
        <v>1.6975018814624336E-3</v>
      </c>
      <c r="AF103" s="69">
        <f t="shared" si="10"/>
        <v>1.6301055946331417E-3</v>
      </c>
      <c r="AG103" s="69">
        <f t="shared" si="10"/>
        <v>1.5292799592497256E-3</v>
      </c>
      <c r="AH103" s="69">
        <f t="shared" si="10"/>
        <v>1.4055417663613211E-3</v>
      </c>
    </row>
    <row r="104" spans="2:34">
      <c r="B104" t="s">
        <v>115</v>
      </c>
      <c r="C104" s="69">
        <f t="shared" si="11"/>
        <v>1.7103237496789856E-2</v>
      </c>
      <c r="D104" s="69">
        <f t="shared" si="11"/>
        <v>1.7519565593224526E-2</v>
      </c>
      <c r="E104" s="69">
        <f t="shared" si="11"/>
        <v>1.7580150393507469E-2</v>
      </c>
      <c r="F104" s="69">
        <f t="shared" si="11"/>
        <v>1.4950115843678679E-2</v>
      </c>
      <c r="G104" s="69">
        <f t="shared" si="11"/>
        <v>1.8494715105743798E-2</v>
      </c>
      <c r="H104" s="69">
        <f t="shared" si="11"/>
        <v>1.7811117422784781E-2</v>
      </c>
      <c r="I104" s="69">
        <f t="shared" si="11"/>
        <v>1.7757011823280603E-2</v>
      </c>
      <c r="J104" s="69">
        <f t="shared" si="11"/>
        <v>1.5968806549364518E-2</v>
      </c>
      <c r="K104" s="69">
        <f t="shared" si="11"/>
        <v>1.4308532711350238E-2</v>
      </c>
      <c r="L104" s="69">
        <f t="shared" si="11"/>
        <v>1.7900469881183982E-2</v>
      </c>
      <c r="M104" s="69">
        <f t="shared" si="11"/>
        <v>1.6948857501483224E-2</v>
      </c>
      <c r="N104" s="69">
        <f t="shared" si="11"/>
        <v>1.6338565903629997E-2</v>
      </c>
      <c r="O104" s="69">
        <f t="shared" si="11"/>
        <v>1.6456174824675922E-2</v>
      </c>
      <c r="P104" s="69">
        <f t="shared" si="11"/>
        <v>1.6584902217726155E-2</v>
      </c>
      <c r="Q104" s="69">
        <f t="shared" si="11"/>
        <v>1.6830555702868101E-2</v>
      </c>
      <c r="R104" s="69">
        <f t="shared" si="11"/>
        <v>1.6298678199255793E-2</v>
      </c>
      <c r="S104" s="69">
        <f t="shared" si="10"/>
        <v>1.7579111300875437E-2</v>
      </c>
      <c r="T104" s="69">
        <f t="shared" si="10"/>
        <v>1.7467724186674319E-2</v>
      </c>
      <c r="U104" s="69">
        <f t="shared" si="10"/>
        <v>1.708434020873759E-2</v>
      </c>
      <c r="V104" s="69">
        <f t="shared" si="10"/>
        <v>1.7023241952291823E-2</v>
      </c>
      <c r="W104" s="69">
        <f t="shared" si="10"/>
        <v>1.7163037749700544E-2</v>
      </c>
      <c r="X104" s="69">
        <f t="shared" si="10"/>
        <v>1.6652542125636615E-2</v>
      </c>
      <c r="Y104" s="69">
        <f t="shared" si="10"/>
        <v>1.6460827096194258E-2</v>
      </c>
      <c r="Z104" s="69">
        <f t="shared" si="10"/>
        <v>1.7106768419785982E-2</v>
      </c>
      <c r="AA104" s="69">
        <f t="shared" si="10"/>
        <v>1.6743151540779301E-2</v>
      </c>
      <c r="AB104" s="69">
        <f t="shared" si="10"/>
        <v>1.6824662463277757E-2</v>
      </c>
      <c r="AC104" s="69">
        <f t="shared" si="10"/>
        <v>1.6466238326621592E-2</v>
      </c>
      <c r="AD104" s="69">
        <f t="shared" si="10"/>
        <v>1.6763883719930761E-2</v>
      </c>
      <c r="AE104" s="69">
        <f t="shared" si="10"/>
        <v>1.7233132561614659E-2</v>
      </c>
      <c r="AF104" s="69">
        <f t="shared" si="10"/>
        <v>1.675747549514019E-2</v>
      </c>
      <c r="AG104" s="69">
        <f t="shared" si="10"/>
        <v>1.6612986383665932E-2</v>
      </c>
      <c r="AH104" s="69">
        <f t="shared" si="10"/>
        <v>1.6777316961852921E-2</v>
      </c>
    </row>
    <row r="105" spans="2:34">
      <c r="B105" t="s">
        <v>117</v>
      </c>
      <c r="C105" s="69">
        <f t="shared" si="11"/>
        <v>2.0903726611654398E-2</v>
      </c>
      <c r="D105" s="69">
        <f t="shared" si="11"/>
        <v>2.1973416653066839E-2</v>
      </c>
      <c r="E105" s="69">
        <f t="shared" si="11"/>
        <v>2.2349243697172203E-2</v>
      </c>
      <c r="F105" s="69">
        <f t="shared" si="11"/>
        <v>2.2151183036403024E-2</v>
      </c>
      <c r="G105" s="69">
        <f t="shared" si="11"/>
        <v>2.248430753553509E-2</v>
      </c>
      <c r="H105" s="69">
        <f t="shared" si="11"/>
        <v>2.2509487956559677E-2</v>
      </c>
      <c r="I105" s="69">
        <f t="shared" si="11"/>
        <v>2.2162971923694139E-2</v>
      </c>
      <c r="J105" s="69">
        <f t="shared" si="11"/>
        <v>2.1606907150372494E-2</v>
      </c>
      <c r="K105" s="69">
        <f t="shared" si="11"/>
        <v>2.2203825333833634E-2</v>
      </c>
      <c r="L105" s="69">
        <f t="shared" si="11"/>
        <v>2.1223785818521287E-2</v>
      </c>
      <c r="M105" s="69">
        <f t="shared" si="11"/>
        <v>1.9604671370523036E-2</v>
      </c>
      <c r="N105" s="69">
        <f t="shared" si="11"/>
        <v>2.0116709222992218E-2</v>
      </c>
      <c r="O105" s="69">
        <f t="shared" si="11"/>
        <v>1.9658318221382396E-2</v>
      </c>
      <c r="P105" s="69">
        <f t="shared" si="11"/>
        <v>1.9224173805130071E-2</v>
      </c>
      <c r="Q105" s="69">
        <f t="shared" si="11"/>
        <v>1.9505204213871117E-2</v>
      </c>
      <c r="R105" s="69">
        <f t="shared" si="11"/>
        <v>1.8015332427381039E-2</v>
      </c>
      <c r="S105" s="69">
        <f t="shared" si="10"/>
        <v>1.896801622839147E-2</v>
      </c>
      <c r="T105" s="69">
        <f t="shared" si="10"/>
        <v>1.8692068161056927E-2</v>
      </c>
      <c r="U105" s="69">
        <f t="shared" si="10"/>
        <v>1.9295995485810426E-2</v>
      </c>
      <c r="V105" s="69">
        <f t="shared" si="10"/>
        <v>1.8915642619421639E-2</v>
      </c>
      <c r="W105" s="69">
        <f t="shared" si="10"/>
        <v>1.9499413783028979E-2</v>
      </c>
      <c r="X105" s="69">
        <f t="shared" si="10"/>
        <v>1.8707123002907337E-2</v>
      </c>
      <c r="Y105" s="69">
        <f t="shared" si="10"/>
        <v>2.0156745955858191E-2</v>
      </c>
      <c r="Z105" s="69">
        <f t="shared" si="10"/>
        <v>1.8989862538900858E-2</v>
      </c>
      <c r="AA105" s="69">
        <f t="shared" si="10"/>
        <v>2.0196328020942678E-2</v>
      </c>
      <c r="AB105" s="69">
        <f t="shared" si="10"/>
        <v>1.9813683982308334E-2</v>
      </c>
      <c r="AC105" s="69">
        <f t="shared" si="10"/>
        <v>1.9506734961512867E-2</v>
      </c>
      <c r="AD105" s="69">
        <f t="shared" si="10"/>
        <v>1.8839806080307872E-2</v>
      </c>
      <c r="AE105" s="69">
        <f t="shared" si="10"/>
        <v>2.0255388267294939E-2</v>
      </c>
      <c r="AF105" s="69">
        <f t="shared" si="10"/>
        <v>1.9666043050378865E-2</v>
      </c>
      <c r="AG105" s="69">
        <f t="shared" si="10"/>
        <v>2.0516432462286679E-2</v>
      </c>
      <c r="AH105" s="69">
        <f t="shared" si="10"/>
        <v>2.038199202021132E-2</v>
      </c>
    </row>
    <row r="106" spans="2:34">
      <c r="B106" t="s">
        <v>116</v>
      </c>
      <c r="C106" s="69">
        <f t="shared" si="11"/>
        <v>9.0845578675914831E-3</v>
      </c>
      <c r="D106" s="69">
        <f t="shared" si="11"/>
        <v>8.5447440818953429E-3</v>
      </c>
      <c r="E106" s="69">
        <f t="shared" si="11"/>
        <v>9.0708422967364852E-3</v>
      </c>
      <c r="F106" s="69">
        <f t="shared" si="11"/>
        <v>9.0118346024203582E-3</v>
      </c>
      <c r="G106" s="69">
        <f t="shared" si="11"/>
        <v>8.4502579096130421E-3</v>
      </c>
      <c r="H106" s="69">
        <f t="shared" si="11"/>
        <v>8.4684836833399529E-3</v>
      </c>
      <c r="I106" s="69">
        <f t="shared" si="11"/>
        <v>6.2703231849861873E-3</v>
      </c>
      <c r="J106" s="69">
        <f t="shared" si="11"/>
        <v>8.6121308823714025E-3</v>
      </c>
      <c r="K106" s="69">
        <f t="shared" si="11"/>
        <v>9.1121901479064779E-3</v>
      </c>
      <c r="L106" s="69">
        <f t="shared" si="11"/>
        <v>8.7707059299449181E-3</v>
      </c>
      <c r="M106" s="69">
        <f t="shared" si="11"/>
        <v>8.4295619689802904E-3</v>
      </c>
      <c r="N106" s="69">
        <f t="shared" si="11"/>
        <v>8.1409746756769211E-3</v>
      </c>
      <c r="O106" s="69">
        <f t="shared" si="11"/>
        <v>7.7628886372363131E-3</v>
      </c>
      <c r="P106" s="69">
        <f t="shared" si="11"/>
        <v>7.6932829390442973E-3</v>
      </c>
      <c r="Q106" s="69">
        <f t="shared" si="11"/>
        <v>7.8913240864720742E-3</v>
      </c>
      <c r="R106" s="69">
        <f t="shared" si="11"/>
        <v>7.5847020182039492E-3</v>
      </c>
      <c r="S106" s="69">
        <f t="shared" si="10"/>
        <v>7.3578764317821016E-3</v>
      </c>
      <c r="T106" s="69">
        <f t="shared" si="10"/>
        <v>7.2249657209431861E-3</v>
      </c>
      <c r="U106" s="69">
        <f t="shared" si="10"/>
        <v>7.4167304365632654E-3</v>
      </c>
      <c r="V106" s="69">
        <f t="shared" si="10"/>
        <v>7.7119559731151748E-3</v>
      </c>
      <c r="W106" s="69">
        <f t="shared" si="10"/>
        <v>7.8667911266629646E-3</v>
      </c>
      <c r="X106" s="69">
        <f t="shared" si="10"/>
        <v>7.6294077663396822E-3</v>
      </c>
      <c r="Y106" s="69">
        <f t="shared" si="10"/>
        <v>7.8788865257332225E-3</v>
      </c>
      <c r="Z106" s="69">
        <f t="shared" si="10"/>
        <v>7.486642589017792E-3</v>
      </c>
      <c r="AA106" s="69">
        <f t="shared" si="10"/>
        <v>6.8875670839615858E-3</v>
      </c>
      <c r="AB106" s="69">
        <f t="shared" si="10"/>
        <v>7.8805661405273505E-3</v>
      </c>
      <c r="AC106" s="69">
        <f t="shared" si="10"/>
        <v>6.9129784889776147E-3</v>
      </c>
      <c r="AD106" s="69">
        <f t="shared" si="10"/>
        <v>9.3959173550359001E-3</v>
      </c>
      <c r="AE106" s="69">
        <f t="shared" si="10"/>
        <v>1.1850216888767922E-2</v>
      </c>
      <c r="AF106" s="69">
        <f t="shared" si="10"/>
        <v>1.1570134247043666E-2</v>
      </c>
      <c r="AG106" s="69">
        <f t="shared" si="10"/>
        <v>9.4163706023781494E-3</v>
      </c>
      <c r="AH106" s="69">
        <f t="shared" si="10"/>
        <v>1.1097853503760654E-2</v>
      </c>
    </row>
    <row r="107" spans="2:34">
      <c r="B107" t="s">
        <v>118</v>
      </c>
      <c r="C107" s="69">
        <f t="shared" si="11"/>
        <v>8.3259488066559344E-3</v>
      </c>
      <c r="D107" s="69">
        <f t="shared" si="11"/>
        <v>7.68391124937469E-3</v>
      </c>
      <c r="E107" s="69">
        <f t="shared" si="11"/>
        <v>7.9396965661761559E-3</v>
      </c>
      <c r="F107" s="69">
        <f t="shared" si="11"/>
        <v>8.8075865826809877E-3</v>
      </c>
      <c r="G107" s="69">
        <f t="shared" si="11"/>
        <v>7.9030642882545726E-3</v>
      </c>
      <c r="H107" s="69">
        <f t="shared" si="11"/>
        <v>8.199549657610888E-3</v>
      </c>
      <c r="I107" s="69">
        <f t="shared" si="11"/>
        <v>8.8056979253902778E-3</v>
      </c>
      <c r="J107" s="69">
        <f t="shared" si="11"/>
        <v>8.8502737571416919E-3</v>
      </c>
      <c r="K107" s="69">
        <f t="shared" si="11"/>
        <v>8.6821454918945048E-3</v>
      </c>
      <c r="L107" s="69">
        <f t="shared" si="11"/>
        <v>1.0853223649679214E-2</v>
      </c>
      <c r="M107" s="69">
        <f t="shared" si="11"/>
        <v>8.1522118529438574E-3</v>
      </c>
      <c r="N107" s="69">
        <f t="shared" si="11"/>
        <v>9.2478597429668467E-3</v>
      </c>
      <c r="O107" s="69">
        <f t="shared" si="11"/>
        <v>8.7594247862795883E-3</v>
      </c>
      <c r="P107" s="69">
        <f t="shared" si="11"/>
        <v>8.3179041090601976E-3</v>
      </c>
      <c r="Q107" s="69">
        <f t="shared" si="11"/>
        <v>9.0883169687909389E-3</v>
      </c>
      <c r="R107" s="69">
        <f t="shared" si="11"/>
        <v>8.8480050977011223E-3</v>
      </c>
      <c r="S107" s="69">
        <f t="shared" si="10"/>
        <v>8.9866416262890242E-3</v>
      </c>
      <c r="T107" s="69">
        <f t="shared" si="10"/>
        <v>9.618290323475184E-3</v>
      </c>
      <c r="U107" s="69">
        <f t="shared" si="10"/>
        <v>1.0070322424076348E-2</v>
      </c>
      <c r="V107" s="69">
        <f t="shared" si="10"/>
        <v>9.2264145994265558E-3</v>
      </c>
      <c r="W107" s="69">
        <f t="shared" si="10"/>
        <v>9.497784411102897E-3</v>
      </c>
      <c r="X107" s="69">
        <f t="shared" si="10"/>
        <v>8.6592596209726144E-3</v>
      </c>
      <c r="Y107" s="69">
        <f t="shared" si="10"/>
        <v>9.7150298229371611E-3</v>
      </c>
      <c r="Z107" s="69">
        <f t="shared" si="10"/>
        <v>9.6156671678534061E-3</v>
      </c>
      <c r="AA107" s="69">
        <f t="shared" si="10"/>
        <v>9.2149508177698479E-3</v>
      </c>
      <c r="AB107" s="69">
        <f t="shared" si="10"/>
        <v>8.6257167142440687E-3</v>
      </c>
      <c r="AC107" s="69">
        <f t="shared" si="10"/>
        <v>8.1803792047683392E-3</v>
      </c>
      <c r="AD107" s="69">
        <f t="shared" si="10"/>
        <v>7.6631567614110609E-3</v>
      </c>
      <c r="AE107" s="69">
        <f t="shared" si="10"/>
        <v>8.2964133591970964E-3</v>
      </c>
      <c r="AF107" s="69">
        <f t="shared" si="10"/>
        <v>8.3968720405129902E-3</v>
      </c>
      <c r="AG107" s="69">
        <f t="shared" si="10"/>
        <v>8.3759126959711879E-3</v>
      </c>
      <c r="AH107" s="69">
        <f t="shared" si="10"/>
        <v>8.0745234343241046E-3</v>
      </c>
    </row>
    <row r="108" spans="2:34">
      <c r="C108" s="69">
        <f>SUM(C57:C107)</f>
        <v>1</v>
      </c>
      <c r="D108" s="69">
        <f t="shared" ref="D108:AG108" si="12">SUM(D57:D107)</f>
        <v>1</v>
      </c>
      <c r="E108" s="69">
        <f t="shared" si="12"/>
        <v>0.99999999999999978</v>
      </c>
      <c r="F108" s="69">
        <f t="shared" si="12"/>
        <v>1.0000000000000002</v>
      </c>
      <c r="G108" s="69">
        <f t="shared" si="12"/>
        <v>1</v>
      </c>
      <c r="H108" s="69">
        <f t="shared" si="12"/>
        <v>0.99999999999999989</v>
      </c>
      <c r="I108" s="69">
        <f t="shared" si="12"/>
        <v>0.99999999999999978</v>
      </c>
      <c r="J108" s="69">
        <f t="shared" si="12"/>
        <v>1.0000000000000002</v>
      </c>
      <c r="K108" s="69">
        <f t="shared" si="12"/>
        <v>0.99999999999999978</v>
      </c>
      <c r="L108" s="69">
        <f t="shared" si="12"/>
        <v>0.99999999999999989</v>
      </c>
      <c r="M108" s="69">
        <f t="shared" si="12"/>
        <v>1</v>
      </c>
      <c r="N108" s="69">
        <f t="shared" si="12"/>
        <v>1.0000000000000002</v>
      </c>
      <c r="O108" s="69">
        <f t="shared" si="12"/>
        <v>0.99999999999999989</v>
      </c>
      <c r="P108" s="69">
        <f t="shared" si="12"/>
        <v>1</v>
      </c>
      <c r="Q108" s="69">
        <f t="shared" si="12"/>
        <v>0.99999999999999989</v>
      </c>
      <c r="R108" s="69">
        <f t="shared" si="12"/>
        <v>0.99999999999999989</v>
      </c>
      <c r="S108" s="69">
        <f t="shared" si="12"/>
        <v>1</v>
      </c>
      <c r="T108" s="69">
        <f t="shared" si="12"/>
        <v>1</v>
      </c>
      <c r="U108" s="69">
        <f t="shared" si="12"/>
        <v>1</v>
      </c>
      <c r="V108" s="69">
        <f t="shared" si="12"/>
        <v>1</v>
      </c>
      <c r="W108" s="69">
        <f t="shared" si="12"/>
        <v>1.0000000000000002</v>
      </c>
      <c r="X108" s="69">
        <f t="shared" si="12"/>
        <v>1</v>
      </c>
      <c r="Y108" s="69">
        <f t="shared" si="12"/>
        <v>0.99999999999999978</v>
      </c>
      <c r="Z108" s="69">
        <f t="shared" si="12"/>
        <v>0.99999999999999989</v>
      </c>
      <c r="AA108" s="69">
        <f t="shared" si="12"/>
        <v>1</v>
      </c>
      <c r="AB108" s="69">
        <f t="shared" si="12"/>
        <v>1</v>
      </c>
      <c r="AC108" s="69">
        <f t="shared" si="12"/>
        <v>1.0000000000000002</v>
      </c>
      <c r="AD108" s="69">
        <f t="shared" si="12"/>
        <v>0.99999999999999989</v>
      </c>
      <c r="AE108" s="69">
        <f t="shared" si="12"/>
        <v>1.0000000000000002</v>
      </c>
      <c r="AF108" s="69">
        <f t="shared" si="12"/>
        <v>1.0000000000000002</v>
      </c>
      <c r="AG108" s="69">
        <f t="shared" si="12"/>
        <v>1</v>
      </c>
      <c r="AH108" s="69">
        <f t="shared" ref="AH108" si="13">SUM(AH57:AH107)</f>
        <v>1</v>
      </c>
    </row>
  </sheetData>
  <conditionalFormatting sqref="C55:AH55">
    <cfRule type="colorScale" priority="1">
      <colorScale>
        <cfvo type="min"/>
        <cfvo type="percentile" val="50"/>
        <cfvo type="max"/>
        <color rgb="FFF8696B"/>
        <color rgb="FFFFEB84"/>
        <color rgb="FF63BE7B"/>
      </colorScale>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V55"/>
  <sheetViews>
    <sheetView showGridLines="0" topLeftCell="BC1" zoomScale="120" zoomScaleNormal="120" zoomScalePageLayoutView="140" workbookViewId="0">
      <selection activeCell="BS53" sqref="BS53"/>
    </sheetView>
  </sheetViews>
  <sheetFormatPr defaultRowHeight="14.5"/>
  <cols>
    <col min="1" max="1" width="12" customWidth="1"/>
    <col min="2" max="2" width="8.453125" customWidth="1"/>
    <col min="3" max="4" width="7.26953125" bestFit="1" customWidth="1"/>
    <col min="5" max="5" width="6.7265625" bestFit="1" customWidth="1"/>
    <col min="6" max="6" width="7.453125" bestFit="1" customWidth="1"/>
    <col min="7" max="7" width="7.81640625" bestFit="1" customWidth="1"/>
    <col min="8" max="8" width="8.1796875" bestFit="1" customWidth="1"/>
    <col min="9" max="9" width="7.81640625" bestFit="1" customWidth="1"/>
    <col min="10" max="10" width="8.1796875" bestFit="1" customWidth="1"/>
    <col min="11" max="11" width="8" bestFit="1" customWidth="1"/>
    <col min="12" max="12" width="8.54296875" bestFit="1" customWidth="1"/>
    <col min="13" max="13" width="8.26953125" bestFit="1" customWidth="1"/>
    <col min="14" max="14" width="8.7265625" bestFit="1" customWidth="1"/>
    <col min="15" max="15" width="8.54296875" bestFit="1" customWidth="1"/>
    <col min="16" max="16" width="8.26953125" bestFit="1" customWidth="1"/>
    <col min="17" max="17" width="8.54296875" bestFit="1" customWidth="1"/>
    <col min="18" max="18" width="7.7265625" bestFit="1" customWidth="1"/>
    <col min="19" max="19" width="8.26953125" bestFit="1" customWidth="1"/>
    <col min="20" max="20" width="8.453125" bestFit="1" customWidth="1"/>
    <col min="21" max="21" width="8.26953125" bestFit="1" customWidth="1"/>
    <col min="22" max="23" width="8.54296875" bestFit="1" customWidth="1"/>
    <col min="24" max="24" width="8" bestFit="1" customWidth="1"/>
    <col min="25" max="25" width="8.26953125" bestFit="1" customWidth="1"/>
    <col min="26" max="27" width="8.54296875" bestFit="1" customWidth="1"/>
    <col min="28" max="28" width="11" bestFit="1" customWidth="1"/>
    <col min="29" max="29" width="8.7265625" bestFit="1" customWidth="1"/>
    <col min="30" max="30" width="8.81640625" bestFit="1" customWidth="1"/>
    <col min="31" max="32" width="9.26953125" bestFit="1" customWidth="1"/>
    <col min="33" max="33" width="9" bestFit="1" customWidth="1"/>
    <col min="34" max="34" width="9.1796875" bestFit="1" customWidth="1"/>
    <col min="35" max="35" width="9" bestFit="1" customWidth="1"/>
    <col min="36" max="36" width="8.81640625" bestFit="1" customWidth="1"/>
    <col min="37" max="38" width="8.7265625" bestFit="1" customWidth="1"/>
    <col min="39" max="39" width="9.1796875" bestFit="1" customWidth="1"/>
    <col min="40" max="40" width="11.81640625" bestFit="1" customWidth="1"/>
    <col min="41" max="41" width="10" customWidth="1"/>
    <col min="42" max="42" width="9" bestFit="1" customWidth="1"/>
    <col min="43" max="43" width="9.1796875" bestFit="1" customWidth="1"/>
    <col min="44" max="44" width="9.26953125" bestFit="1" customWidth="1"/>
    <col min="45" max="45" width="8.7265625" bestFit="1" customWidth="1"/>
    <col min="46" max="46" width="10" customWidth="1"/>
    <col min="47" max="47" width="8.54296875" bestFit="1" customWidth="1"/>
    <col min="48" max="48" width="8.7265625" bestFit="1" customWidth="1"/>
    <col min="49" max="49" width="9.1796875" bestFit="1" customWidth="1"/>
    <col min="50" max="50" width="9" bestFit="1" customWidth="1"/>
    <col min="51" max="54" width="9.26953125" bestFit="1" customWidth="1"/>
    <col min="55" max="55" width="8.81640625" bestFit="1" customWidth="1"/>
    <col min="56" max="57" width="9" bestFit="1" customWidth="1"/>
    <col min="58" max="58" width="10.54296875" customWidth="1"/>
    <col min="59" max="59" width="9" bestFit="1" customWidth="1"/>
    <col min="60" max="60" width="8.81640625" bestFit="1" customWidth="1"/>
    <col min="61" max="61" width="10.26953125" bestFit="1" customWidth="1"/>
    <col min="62" max="62" width="12.81640625" customWidth="1"/>
    <col min="63" max="63" width="10.453125" customWidth="1"/>
    <col min="64" max="64" width="8.7265625" bestFit="1" customWidth="1"/>
    <col min="65" max="65" width="10.7265625" customWidth="1"/>
    <col min="66" max="68" width="10.453125" customWidth="1"/>
    <col min="69" max="70" width="11.54296875" customWidth="1"/>
  </cols>
  <sheetData>
    <row r="1" spans="1:74" ht="12" customHeight="1" thickTop="1">
      <c r="A1" s="6" t="s">
        <v>0</v>
      </c>
      <c r="B1" s="35">
        <v>1949</v>
      </c>
      <c r="C1" s="35">
        <v>1950</v>
      </c>
      <c r="D1" s="6">
        <v>1951</v>
      </c>
      <c r="E1" s="6">
        <v>1952</v>
      </c>
      <c r="F1" s="35">
        <v>1953</v>
      </c>
      <c r="G1" s="35">
        <v>1954</v>
      </c>
      <c r="H1" s="35">
        <v>1955</v>
      </c>
      <c r="I1" s="35">
        <v>1956</v>
      </c>
      <c r="J1" s="35">
        <v>1957</v>
      </c>
      <c r="K1" s="2">
        <v>1958</v>
      </c>
      <c r="L1" s="6">
        <v>1959</v>
      </c>
      <c r="M1" s="35">
        <v>1960</v>
      </c>
      <c r="N1" s="7">
        <v>1961</v>
      </c>
      <c r="O1" s="35">
        <v>1962</v>
      </c>
      <c r="P1" s="35">
        <v>1963</v>
      </c>
      <c r="Q1" s="2">
        <v>1964</v>
      </c>
      <c r="R1" s="35">
        <v>1965</v>
      </c>
      <c r="S1" s="2">
        <v>1966</v>
      </c>
      <c r="T1" s="35">
        <v>1967</v>
      </c>
      <c r="U1" s="2">
        <v>1968</v>
      </c>
      <c r="V1" s="35">
        <v>1969</v>
      </c>
      <c r="W1" s="2">
        <v>1970</v>
      </c>
      <c r="X1" s="35">
        <v>1971</v>
      </c>
      <c r="Y1" s="2">
        <v>1972</v>
      </c>
      <c r="Z1" s="35">
        <v>1973</v>
      </c>
      <c r="AA1" s="35">
        <v>1974</v>
      </c>
      <c r="AB1" s="35">
        <v>1975</v>
      </c>
      <c r="AC1" s="35">
        <v>1976</v>
      </c>
      <c r="AD1" s="35">
        <v>1977</v>
      </c>
      <c r="AE1" s="35">
        <v>1978</v>
      </c>
      <c r="AF1" s="35">
        <v>1979</v>
      </c>
      <c r="AG1" s="35">
        <v>1980</v>
      </c>
      <c r="AH1" s="35">
        <v>1981</v>
      </c>
      <c r="AI1" s="35">
        <v>1982</v>
      </c>
      <c r="AJ1" s="35">
        <v>1983</v>
      </c>
      <c r="AK1" s="35">
        <v>1984</v>
      </c>
      <c r="AL1" s="35">
        <v>1985</v>
      </c>
      <c r="AM1" s="35">
        <v>1986</v>
      </c>
      <c r="AN1" s="35">
        <v>1987</v>
      </c>
      <c r="AO1" s="35">
        <v>1988</v>
      </c>
      <c r="AP1" s="35">
        <v>1989</v>
      </c>
      <c r="AQ1" s="35">
        <v>1990</v>
      </c>
      <c r="AR1" s="35">
        <v>1991</v>
      </c>
      <c r="AS1" s="35">
        <v>1992</v>
      </c>
      <c r="AT1" s="35">
        <v>1993</v>
      </c>
      <c r="AU1" s="35">
        <v>1994</v>
      </c>
      <c r="AV1" s="35">
        <v>1995</v>
      </c>
      <c r="AW1" s="35">
        <v>1996</v>
      </c>
      <c r="AX1" s="35">
        <v>1997</v>
      </c>
      <c r="AY1" s="35">
        <v>1998</v>
      </c>
      <c r="AZ1" s="35">
        <v>1999</v>
      </c>
      <c r="BA1" s="35">
        <v>2000</v>
      </c>
      <c r="BB1" s="35">
        <v>2001</v>
      </c>
      <c r="BC1" s="35">
        <v>2002</v>
      </c>
      <c r="BD1" s="35">
        <v>2003</v>
      </c>
      <c r="BE1" s="35">
        <v>2004</v>
      </c>
      <c r="BF1" s="35">
        <v>2005</v>
      </c>
      <c r="BG1" s="35">
        <v>2006</v>
      </c>
      <c r="BH1" s="35">
        <v>2007</v>
      </c>
      <c r="BI1" s="35">
        <v>2008</v>
      </c>
      <c r="BJ1" s="35">
        <v>2009</v>
      </c>
      <c r="BK1" s="35">
        <v>2010</v>
      </c>
      <c r="BL1" s="35">
        <v>2011</v>
      </c>
      <c r="BM1" s="35">
        <v>2012</v>
      </c>
      <c r="BN1" s="35">
        <v>2013</v>
      </c>
      <c r="BO1" s="35">
        <v>2014</v>
      </c>
      <c r="BP1" s="35">
        <v>2015</v>
      </c>
      <c r="BQ1" s="35">
        <v>2016</v>
      </c>
      <c r="BR1" s="35">
        <v>2017</v>
      </c>
      <c r="BS1" s="35">
        <v>2018</v>
      </c>
      <c r="BT1" s="35">
        <v>2019</v>
      </c>
      <c r="BU1" s="35">
        <v>2020</v>
      </c>
      <c r="BV1" s="35">
        <v>2021</v>
      </c>
    </row>
    <row r="2" spans="1:74" ht="11" customHeight="1">
      <c r="A2" s="8" t="s">
        <v>1</v>
      </c>
      <c r="B2" s="9">
        <v>2319</v>
      </c>
      <c r="C2" s="9">
        <v>3707</v>
      </c>
      <c r="D2" s="9">
        <v>6034</v>
      </c>
      <c r="E2" s="9">
        <v>8314</v>
      </c>
      <c r="F2" s="9">
        <v>9457</v>
      </c>
      <c r="G2" s="9">
        <v>10956</v>
      </c>
      <c r="H2" s="17">
        <v>13627</v>
      </c>
      <c r="I2" s="17">
        <v>16274</v>
      </c>
      <c r="J2" s="9">
        <v>20188</v>
      </c>
      <c r="K2" s="9">
        <v>24376</v>
      </c>
      <c r="L2" s="9">
        <v>30927</v>
      </c>
      <c r="M2" s="9">
        <v>35274</v>
      </c>
      <c r="N2" s="9">
        <v>40282</v>
      </c>
      <c r="O2" s="9">
        <v>48006</v>
      </c>
      <c r="P2" s="9">
        <v>54967</v>
      </c>
      <c r="Q2" s="9">
        <v>63677</v>
      </c>
      <c r="R2" s="9">
        <v>73097</v>
      </c>
      <c r="S2" s="9">
        <v>84476</v>
      </c>
      <c r="T2" s="9">
        <v>93185</v>
      </c>
      <c r="U2" s="9">
        <v>106523</v>
      </c>
      <c r="V2" s="9">
        <v>119658</v>
      </c>
      <c r="W2" s="9">
        <v>127971</v>
      </c>
      <c r="X2" s="9">
        <v>145429</v>
      </c>
      <c r="Y2" s="9">
        <v>165202</v>
      </c>
      <c r="Z2" s="9">
        <v>190600</v>
      </c>
      <c r="AA2" s="9">
        <v>193253</v>
      </c>
      <c r="AB2" s="9">
        <v>194081</v>
      </c>
      <c r="AC2" s="9">
        <v>219093</v>
      </c>
      <c r="AD2" s="9">
        <v>249302</v>
      </c>
      <c r="AE2" s="9">
        <v>280542</v>
      </c>
      <c r="AF2" s="9">
        <v>291498</v>
      </c>
      <c r="AG2" s="9">
        <v>322457</v>
      </c>
      <c r="AH2" s="9">
        <v>291923</v>
      </c>
      <c r="AI2" s="9">
        <v>291133</v>
      </c>
      <c r="AJ2" s="9">
        <v>323318</v>
      </c>
      <c r="AK2" s="9">
        <v>355297</v>
      </c>
      <c r="AL2" s="9">
        <v>365287</v>
      </c>
      <c r="AM2" s="9">
        <v>375522</v>
      </c>
      <c r="AN2" s="9">
        <v>409825</v>
      </c>
      <c r="AO2" s="9">
        <v>486519</v>
      </c>
      <c r="AP2" s="9">
        <v>535136</v>
      </c>
      <c r="AQ2" s="9">
        <v>571091</v>
      </c>
      <c r="AR2" s="10">
        <v>554649</v>
      </c>
      <c r="AS2" s="11">
        <v>551926</v>
      </c>
      <c r="AT2" s="11">
        <v>587390</v>
      </c>
      <c r="AU2" s="12">
        <v>659025</v>
      </c>
      <c r="AV2" s="12">
        <v>696427</v>
      </c>
      <c r="AW2" s="11">
        <v>650666</v>
      </c>
      <c r="AX2" s="11">
        <v>659865</v>
      </c>
      <c r="AY2" s="12">
        <v>705978</v>
      </c>
      <c r="AZ2" s="12">
        <v>745713</v>
      </c>
      <c r="BA2" s="12">
        <v>769752</v>
      </c>
      <c r="BB2" s="12">
        <v>683396</v>
      </c>
      <c r="BC2" s="12">
        <v>672948</v>
      </c>
      <c r="BD2" s="12">
        <v>734983</v>
      </c>
      <c r="BE2" s="13">
        <v>790734</v>
      </c>
      <c r="BF2" s="13">
        <v>814696</v>
      </c>
      <c r="BG2" s="13">
        <v>824496</v>
      </c>
      <c r="BH2" s="13">
        <v>882000</v>
      </c>
      <c r="BI2" s="14">
        <v>774380.59299999988</v>
      </c>
      <c r="BJ2" s="13">
        <v>687818.37899999996</v>
      </c>
      <c r="BK2" s="13">
        <v>746135.58100000001</v>
      </c>
      <c r="BL2" s="13">
        <v>748448.65600000008</v>
      </c>
      <c r="BM2" s="15">
        <v>730942.45299999998</v>
      </c>
      <c r="BN2" s="15">
        <v>736632</v>
      </c>
      <c r="BO2" s="36">
        <v>779280</v>
      </c>
      <c r="BP2" s="36">
        <v>828453</v>
      </c>
      <c r="BQ2" s="39">
        <v>963803</v>
      </c>
      <c r="BR2" s="39">
        <v>891595</v>
      </c>
      <c r="BS2" s="50">
        <v>859500</v>
      </c>
      <c r="BT2" s="50">
        <v>874206</v>
      </c>
      <c r="BU2" s="50">
        <v>863691</v>
      </c>
      <c r="BV2" s="50">
        <v>990396</v>
      </c>
    </row>
    <row r="3" spans="1:74" ht="8" customHeight="1">
      <c r="A3" s="16" t="s">
        <v>2</v>
      </c>
      <c r="B3" s="17">
        <v>0</v>
      </c>
      <c r="C3" s="17">
        <v>0</v>
      </c>
      <c r="D3" s="17">
        <v>0</v>
      </c>
      <c r="E3" s="17">
        <v>0</v>
      </c>
      <c r="F3" s="17">
        <v>0</v>
      </c>
      <c r="G3" s="17">
        <v>0</v>
      </c>
      <c r="H3" s="17">
        <v>0</v>
      </c>
      <c r="I3" s="17">
        <v>0</v>
      </c>
      <c r="J3" s="17">
        <v>0</v>
      </c>
      <c r="K3" s="17">
        <v>0</v>
      </c>
      <c r="L3" s="17">
        <v>612</v>
      </c>
      <c r="M3" s="17">
        <v>664</v>
      </c>
      <c r="N3" s="17">
        <v>724</v>
      </c>
      <c r="O3" s="17">
        <v>794</v>
      </c>
      <c r="P3" s="17">
        <v>902</v>
      </c>
      <c r="Q3" s="17">
        <v>975</v>
      </c>
      <c r="R3" s="17">
        <v>1148</v>
      </c>
      <c r="S3" s="17">
        <v>2361</v>
      </c>
      <c r="T3" s="17">
        <v>2531</v>
      </c>
      <c r="U3" s="17">
        <v>8773</v>
      </c>
      <c r="V3" s="17">
        <v>4709</v>
      </c>
      <c r="W3" s="17">
        <v>10544</v>
      </c>
      <c r="X3" s="17">
        <v>3076</v>
      </c>
      <c r="Y3" s="17">
        <v>11459</v>
      </c>
      <c r="Z3" s="17">
        <v>9040</v>
      </c>
      <c r="AA3" s="17">
        <v>30151</v>
      </c>
      <c r="AB3" s="17">
        <v>35226</v>
      </c>
      <c r="AC3" s="17">
        <v>44788</v>
      </c>
      <c r="AD3" s="17">
        <v>44160</v>
      </c>
      <c r="AE3" s="17">
        <v>32396</v>
      </c>
      <c r="AF3" s="17">
        <v>11956</v>
      </c>
      <c r="AG3" s="17">
        <v>46132</v>
      </c>
      <c r="AH3" s="17">
        <v>14713</v>
      </c>
      <c r="AI3" s="17">
        <v>41283</v>
      </c>
      <c r="AJ3" s="17">
        <v>97400</v>
      </c>
      <c r="AK3" s="17">
        <v>60445</v>
      </c>
      <c r="AL3" s="17">
        <v>73836</v>
      </c>
      <c r="AM3" s="17">
        <v>59947</v>
      </c>
      <c r="AN3" s="17">
        <v>29091</v>
      </c>
      <c r="AO3" s="17">
        <v>43362</v>
      </c>
      <c r="AP3" s="17">
        <v>58472</v>
      </c>
      <c r="AQ3" s="17">
        <v>83524</v>
      </c>
      <c r="AR3" s="18">
        <v>40077</v>
      </c>
      <c r="AS3" s="19">
        <v>49869</v>
      </c>
      <c r="AT3" s="19">
        <v>116570</v>
      </c>
      <c r="AU3" s="20">
        <v>30422</v>
      </c>
      <c r="AV3" s="20">
        <v>79862</v>
      </c>
      <c r="AW3" s="19">
        <v>67938</v>
      </c>
      <c r="AX3" s="19">
        <v>48374</v>
      </c>
      <c r="AY3" s="20">
        <v>68962</v>
      </c>
      <c r="AZ3" s="20">
        <v>75400</v>
      </c>
      <c r="BA3" s="20">
        <v>91355</v>
      </c>
      <c r="BB3" s="20">
        <v>111937</v>
      </c>
      <c r="BC3" s="20">
        <v>109586</v>
      </c>
      <c r="BD3" s="20">
        <v>92339</v>
      </c>
      <c r="BE3" s="21">
        <v>209733</v>
      </c>
      <c r="BF3" s="21">
        <v>230835</v>
      </c>
      <c r="BG3" s="21">
        <v>237222</v>
      </c>
      <c r="BH3" s="21">
        <v>238428</v>
      </c>
      <c r="BI3" s="22">
        <v>244815.89</v>
      </c>
      <c r="BJ3" s="21">
        <v>267142.027</v>
      </c>
      <c r="BK3" s="21">
        <v>211545.30500000002</v>
      </c>
      <c r="BL3" s="21">
        <v>142358.66499999998</v>
      </c>
      <c r="BM3" s="23">
        <v>155848.32600000003</v>
      </c>
      <c r="BN3" s="23">
        <v>133340</v>
      </c>
      <c r="BO3" s="37">
        <v>195883</v>
      </c>
      <c r="BP3" s="37">
        <v>140241</v>
      </c>
      <c r="BQ3" s="40">
        <v>116169</v>
      </c>
      <c r="BR3" s="40">
        <v>134395</v>
      </c>
      <c r="BS3" s="51">
        <v>93604</v>
      </c>
      <c r="BT3" s="51">
        <v>126670</v>
      </c>
      <c r="BU3" s="51">
        <v>103527</v>
      </c>
      <c r="BV3" s="51">
        <v>119289</v>
      </c>
    </row>
    <row r="4" spans="1:74" ht="9" customHeight="1">
      <c r="A4" s="16" t="s">
        <v>3</v>
      </c>
      <c r="B4" s="17">
        <v>9674</v>
      </c>
      <c r="C4" s="17">
        <v>12178</v>
      </c>
      <c r="D4" s="17">
        <v>16037</v>
      </c>
      <c r="E4" s="17">
        <v>19437</v>
      </c>
      <c r="F4" s="17">
        <v>22956</v>
      </c>
      <c r="G4" s="17">
        <v>24287</v>
      </c>
      <c r="H4" s="17">
        <v>27017</v>
      </c>
      <c r="I4" s="17">
        <v>31374</v>
      </c>
      <c r="J4" s="17">
        <v>36101</v>
      </c>
      <c r="K4" s="17">
        <v>40655</v>
      </c>
      <c r="L4" s="17">
        <v>41648</v>
      </c>
      <c r="M4" s="17">
        <v>45116</v>
      </c>
      <c r="N4" s="17">
        <v>47628</v>
      </c>
      <c r="O4" s="17">
        <v>51542</v>
      </c>
      <c r="P4" s="17">
        <v>54361</v>
      </c>
      <c r="Q4" s="17">
        <v>58361</v>
      </c>
      <c r="R4" s="17">
        <v>60794</v>
      </c>
      <c r="S4" s="17">
        <v>66724</v>
      </c>
      <c r="T4" s="17">
        <v>72307</v>
      </c>
      <c r="U4" s="17">
        <v>80088</v>
      </c>
      <c r="V4" s="17">
        <v>97939</v>
      </c>
      <c r="W4" s="17">
        <v>96673</v>
      </c>
      <c r="X4" s="17">
        <v>115668</v>
      </c>
      <c r="Y4" s="17">
        <v>126776</v>
      </c>
      <c r="Z4" s="17">
        <v>149614</v>
      </c>
      <c r="AA4" s="17">
        <v>151490</v>
      </c>
      <c r="AB4" s="17">
        <v>154703</v>
      </c>
      <c r="AC4" s="17">
        <v>166934</v>
      </c>
      <c r="AD4" s="17">
        <v>189408</v>
      </c>
      <c r="AE4" s="17">
        <v>201847</v>
      </c>
      <c r="AF4" s="17">
        <v>226184</v>
      </c>
      <c r="AG4" s="17">
        <v>218807</v>
      </c>
      <c r="AH4" s="17">
        <v>229303</v>
      </c>
      <c r="AI4" s="17">
        <v>197335</v>
      </c>
      <c r="AJ4" s="17">
        <v>207148</v>
      </c>
      <c r="AK4" s="17">
        <v>235282</v>
      </c>
      <c r="AL4" s="17">
        <v>273013</v>
      </c>
      <c r="AM4" s="17">
        <v>285884</v>
      </c>
      <c r="AN4" s="17">
        <v>272404</v>
      </c>
      <c r="AO4" s="17">
        <v>303839</v>
      </c>
      <c r="AP4" s="17">
        <v>325694</v>
      </c>
      <c r="AQ4" s="17">
        <v>331071</v>
      </c>
      <c r="AR4" s="18">
        <v>301102</v>
      </c>
      <c r="AS4" s="19">
        <v>352181</v>
      </c>
      <c r="AT4" s="19">
        <v>474486</v>
      </c>
      <c r="AU4" s="20">
        <v>463479</v>
      </c>
      <c r="AV4" s="20">
        <v>484323</v>
      </c>
      <c r="AW4" s="19">
        <v>529310</v>
      </c>
      <c r="AX4" s="19">
        <v>688869</v>
      </c>
      <c r="AY4" s="20">
        <v>606448</v>
      </c>
      <c r="AZ4" s="20">
        <v>663876</v>
      </c>
      <c r="BA4" s="20">
        <v>632761</v>
      </c>
      <c r="BB4" s="20">
        <v>678902</v>
      </c>
      <c r="BC4" s="20">
        <v>709011</v>
      </c>
      <c r="BD4" s="20">
        <v>734014</v>
      </c>
      <c r="BE4" s="21">
        <v>780791</v>
      </c>
      <c r="BF4" s="21">
        <v>860537</v>
      </c>
      <c r="BG4" s="21">
        <v>886254</v>
      </c>
      <c r="BH4" s="21">
        <v>885407</v>
      </c>
      <c r="BI4" s="22">
        <v>819465.41099999985</v>
      </c>
      <c r="BJ4" s="21">
        <v>726297.11100000003</v>
      </c>
      <c r="BK4" s="21">
        <v>775818.04200000002</v>
      </c>
      <c r="BL4" s="21">
        <v>780406.73900000006</v>
      </c>
      <c r="BM4" s="23">
        <v>766195.08600000001</v>
      </c>
      <c r="BN4" s="23">
        <v>716898</v>
      </c>
      <c r="BO4" s="37">
        <v>770076</v>
      </c>
      <c r="BP4" s="37">
        <v>807771</v>
      </c>
      <c r="BQ4" s="40">
        <v>848026</v>
      </c>
      <c r="BR4" s="40">
        <v>865616</v>
      </c>
      <c r="BS4" s="51">
        <v>894569</v>
      </c>
      <c r="BT4" s="51">
        <v>946619</v>
      </c>
      <c r="BU4" s="51">
        <v>956952</v>
      </c>
      <c r="BV4" s="51">
        <v>1075428</v>
      </c>
    </row>
    <row r="5" spans="1:74" ht="8.9" customHeight="1">
      <c r="A5" s="16" t="s">
        <v>4</v>
      </c>
      <c r="B5" s="24">
        <v>1639</v>
      </c>
      <c r="C5" s="17">
        <v>2291</v>
      </c>
      <c r="D5" s="17">
        <v>3811</v>
      </c>
      <c r="E5" s="17">
        <v>4941</v>
      </c>
      <c r="F5" s="17">
        <v>7094</v>
      </c>
      <c r="G5" s="17">
        <v>9124</v>
      </c>
      <c r="H5" s="17">
        <v>10417</v>
      </c>
      <c r="I5" s="17">
        <v>13036</v>
      </c>
      <c r="J5" s="17">
        <v>17324</v>
      </c>
      <c r="K5" s="17">
        <v>21721</v>
      </c>
      <c r="L5" s="17">
        <v>26704</v>
      </c>
      <c r="M5" s="17">
        <v>28908</v>
      </c>
      <c r="N5" s="17">
        <v>32917</v>
      </c>
      <c r="O5" s="17">
        <v>36063</v>
      </c>
      <c r="P5" s="17">
        <v>41428</v>
      </c>
      <c r="Q5" s="17">
        <v>46736</v>
      </c>
      <c r="R5" s="17">
        <v>56914</v>
      </c>
      <c r="S5" s="17">
        <v>65726</v>
      </c>
      <c r="T5" s="17">
        <v>68205</v>
      </c>
      <c r="U5" s="17">
        <v>77197</v>
      </c>
      <c r="V5" s="17">
        <v>87808</v>
      </c>
      <c r="W5" s="17">
        <v>94366</v>
      </c>
      <c r="X5" s="17">
        <v>112631</v>
      </c>
      <c r="Y5" s="17">
        <v>131904</v>
      </c>
      <c r="Z5" s="17">
        <v>155922</v>
      </c>
      <c r="AA5" s="17">
        <v>151745</v>
      </c>
      <c r="AB5" s="17">
        <v>146417</v>
      </c>
      <c r="AC5" s="17">
        <v>170098</v>
      </c>
      <c r="AD5" s="17">
        <v>189034</v>
      </c>
      <c r="AE5" s="17">
        <v>211837</v>
      </c>
      <c r="AF5" s="17">
        <v>209990</v>
      </c>
      <c r="AG5" s="17">
        <v>213762</v>
      </c>
      <c r="AH5" s="17">
        <v>240231</v>
      </c>
      <c r="AI5" s="17">
        <v>243172</v>
      </c>
      <c r="AJ5" s="17">
        <v>262824</v>
      </c>
      <c r="AK5" s="17">
        <v>298967</v>
      </c>
      <c r="AL5" s="17">
        <v>297066</v>
      </c>
      <c r="AM5" s="17">
        <v>302445</v>
      </c>
      <c r="AN5" s="17">
        <v>328660</v>
      </c>
      <c r="AO5" s="17">
        <v>367997</v>
      </c>
      <c r="AP5" s="17">
        <v>386237</v>
      </c>
      <c r="AQ5" s="17">
        <v>385802</v>
      </c>
      <c r="AR5" s="18">
        <v>386961</v>
      </c>
      <c r="AS5" s="19">
        <v>405441</v>
      </c>
      <c r="AT5" s="19">
        <v>427972</v>
      </c>
      <c r="AU5" s="20">
        <v>472195</v>
      </c>
      <c r="AV5" s="20">
        <v>490814</v>
      </c>
      <c r="AW5" s="19">
        <v>497660</v>
      </c>
      <c r="AX5" s="19">
        <v>534712</v>
      </c>
      <c r="AY5" s="20">
        <v>562634</v>
      </c>
      <c r="AZ5" s="20">
        <v>557820</v>
      </c>
      <c r="BA5" s="20">
        <v>587842</v>
      </c>
      <c r="BB5" s="20">
        <v>582034</v>
      </c>
      <c r="BC5" s="20">
        <v>572817</v>
      </c>
      <c r="BD5" s="20">
        <v>590609</v>
      </c>
      <c r="BE5" s="21">
        <v>601994</v>
      </c>
      <c r="BF5" s="21">
        <v>634171</v>
      </c>
      <c r="BG5" s="21">
        <v>651418</v>
      </c>
      <c r="BH5" s="21">
        <v>673731</v>
      </c>
      <c r="BI5" s="22">
        <v>628409.59700000007</v>
      </c>
      <c r="BJ5" s="21">
        <v>592943.18599999999</v>
      </c>
      <c r="BK5" s="21">
        <v>619188.25199999998</v>
      </c>
      <c r="BL5" s="21">
        <v>603305.39799999993</v>
      </c>
      <c r="BM5" s="23">
        <v>606650.08700000006</v>
      </c>
      <c r="BN5" s="23">
        <v>598371</v>
      </c>
      <c r="BO5" s="37">
        <v>612785</v>
      </c>
      <c r="BP5" s="37">
        <v>616900</v>
      </c>
      <c r="BQ5" s="40">
        <v>641687</v>
      </c>
      <c r="BR5" s="40">
        <v>666074</v>
      </c>
      <c r="BS5" s="52">
        <v>681891</v>
      </c>
      <c r="BT5" s="52">
        <v>680318</v>
      </c>
      <c r="BU5" s="52">
        <v>679637</v>
      </c>
      <c r="BV5" s="52">
        <v>737944</v>
      </c>
    </row>
    <row r="6" spans="1:74" ht="9.25" customHeight="1">
      <c r="A6" s="8" t="s">
        <v>5</v>
      </c>
      <c r="B6" s="9">
        <v>95327</v>
      </c>
      <c r="C6" s="9">
        <v>116852</v>
      </c>
      <c r="D6" s="9">
        <v>143837</v>
      </c>
      <c r="E6" s="9">
        <v>165468</v>
      </c>
      <c r="F6" s="9">
        <v>173235</v>
      </c>
      <c r="G6" s="9">
        <v>199574</v>
      </c>
      <c r="H6" s="9">
        <v>228368</v>
      </c>
      <c r="I6" s="9">
        <v>251080</v>
      </c>
      <c r="J6" s="9">
        <v>261341</v>
      </c>
      <c r="K6" s="9">
        <v>276246</v>
      </c>
      <c r="L6" s="9">
        <v>311549</v>
      </c>
      <c r="M6" s="9">
        <v>300075</v>
      </c>
      <c r="N6" s="9">
        <v>312890</v>
      </c>
      <c r="O6" s="9">
        <v>353202</v>
      </c>
      <c r="P6" s="9">
        <v>367736</v>
      </c>
      <c r="Q6" s="9">
        <v>382903</v>
      </c>
      <c r="R6" s="9">
        <v>417938</v>
      </c>
      <c r="S6" s="9">
        <v>451369</v>
      </c>
      <c r="T6" s="9">
        <v>455955</v>
      </c>
      <c r="U6" s="9">
        <v>492380</v>
      </c>
      <c r="V6" s="9">
        <v>577651</v>
      </c>
      <c r="W6" s="9">
        <v>599308</v>
      </c>
      <c r="X6" s="9">
        <v>660388</v>
      </c>
      <c r="Y6" s="9">
        <v>709414</v>
      </c>
      <c r="Z6" s="9">
        <v>781532</v>
      </c>
      <c r="AA6" s="9">
        <v>764424</v>
      </c>
      <c r="AB6" s="9">
        <v>782725</v>
      </c>
      <c r="AC6" s="9">
        <v>871709</v>
      </c>
      <c r="AD6" s="9">
        <v>914959</v>
      </c>
      <c r="AE6" s="9">
        <v>1078600</v>
      </c>
      <c r="AF6" s="9">
        <v>1169126</v>
      </c>
      <c r="AG6" s="9">
        <v>1153621</v>
      </c>
      <c r="AH6" s="9">
        <v>1224404</v>
      </c>
      <c r="AI6" s="9">
        <v>1215367</v>
      </c>
      <c r="AJ6" s="9">
        <v>1298093</v>
      </c>
      <c r="AK6" s="9">
        <v>1438088</v>
      </c>
      <c r="AL6" s="9">
        <v>1415690</v>
      </c>
      <c r="AM6" s="9">
        <v>1602662</v>
      </c>
      <c r="AN6" s="9">
        <v>1730685</v>
      </c>
      <c r="AO6" s="9">
        <v>1782723</v>
      </c>
      <c r="AP6" s="9">
        <v>1944331</v>
      </c>
      <c r="AQ6" s="9">
        <v>1852610</v>
      </c>
      <c r="AR6" s="10">
        <v>1793825</v>
      </c>
      <c r="AS6" s="11">
        <v>1998741</v>
      </c>
      <c r="AT6" s="11">
        <v>1853278</v>
      </c>
      <c r="AU6" s="12">
        <v>2035629</v>
      </c>
      <c r="AV6" s="12">
        <v>2109665</v>
      </c>
      <c r="AW6" s="11">
        <v>2133927</v>
      </c>
      <c r="AX6" s="11">
        <v>2297847</v>
      </c>
      <c r="AY6" s="12">
        <v>2347370</v>
      </c>
      <c r="AZ6" s="12">
        <v>2468188</v>
      </c>
      <c r="BA6" s="12">
        <v>2639366</v>
      </c>
      <c r="BB6" s="12">
        <v>2647870</v>
      </c>
      <c r="BC6" s="12">
        <v>2732503</v>
      </c>
      <c r="BD6" s="12">
        <v>2688255</v>
      </c>
      <c r="BE6" s="13">
        <v>2908737</v>
      </c>
      <c r="BF6" s="13">
        <v>3064404</v>
      </c>
      <c r="BG6" s="13">
        <v>3045851</v>
      </c>
      <c r="BH6" s="13">
        <v>3181111</v>
      </c>
      <c r="BI6" s="14">
        <v>2956542.2600000007</v>
      </c>
      <c r="BJ6" s="13">
        <v>2728339.8459999999</v>
      </c>
      <c r="BK6" s="13">
        <v>2732916.523</v>
      </c>
      <c r="BL6" s="13">
        <v>2766945.3590000002</v>
      </c>
      <c r="BM6" s="15">
        <v>2748351.321</v>
      </c>
      <c r="BN6" s="15">
        <v>2859342</v>
      </c>
      <c r="BO6" s="36">
        <v>2918733</v>
      </c>
      <c r="BP6" s="36">
        <v>3012037</v>
      </c>
      <c r="BQ6" s="39">
        <v>3182368</v>
      </c>
      <c r="BR6" s="39">
        <v>3297303</v>
      </c>
      <c r="BS6" s="50">
        <v>3282512</v>
      </c>
      <c r="BT6" s="50">
        <v>3502324</v>
      </c>
      <c r="BU6" s="50">
        <v>3147550</v>
      </c>
      <c r="BV6" s="50">
        <v>3366973</v>
      </c>
    </row>
    <row r="7" spans="1:74" ht="9.25" customHeight="1">
      <c r="A7" s="16" t="s">
        <v>63</v>
      </c>
      <c r="B7" s="17">
        <v>5475</v>
      </c>
      <c r="C7" s="17">
        <v>8675</v>
      </c>
      <c r="D7" s="17">
        <v>11717</v>
      </c>
      <c r="E7" s="17">
        <v>14974</v>
      </c>
      <c r="F7" s="17">
        <v>17642</v>
      </c>
      <c r="G7" s="17">
        <v>21032</v>
      </c>
      <c r="H7" s="17">
        <v>24734</v>
      </c>
      <c r="I7" s="17">
        <v>27727</v>
      </c>
      <c r="J7" s="17">
        <v>32320</v>
      </c>
      <c r="K7" s="17">
        <v>33507</v>
      </c>
      <c r="L7" s="17">
        <v>36672</v>
      </c>
      <c r="M7" s="17">
        <v>38873</v>
      </c>
      <c r="N7" s="17">
        <v>38324</v>
      </c>
      <c r="O7" s="17">
        <v>43949</v>
      </c>
      <c r="P7" s="17">
        <v>45167</v>
      </c>
      <c r="Q7" s="17">
        <v>47196</v>
      </c>
      <c r="R7" s="17">
        <v>46271</v>
      </c>
      <c r="S7" s="17">
        <v>51506</v>
      </c>
      <c r="T7" s="17">
        <v>56555</v>
      </c>
      <c r="U7" s="17">
        <v>61260</v>
      </c>
      <c r="V7" s="17">
        <v>65577</v>
      </c>
      <c r="W7" s="17">
        <v>69629</v>
      </c>
      <c r="X7" s="17">
        <v>79568</v>
      </c>
      <c r="Y7" s="17">
        <v>90186</v>
      </c>
      <c r="Z7" s="17">
        <v>106313</v>
      </c>
      <c r="AA7" s="17">
        <v>104864</v>
      </c>
      <c r="AB7" s="17">
        <v>102776</v>
      </c>
      <c r="AC7" s="17">
        <v>114220</v>
      </c>
      <c r="AD7" s="17">
        <v>125580</v>
      </c>
      <c r="AE7" s="17">
        <v>133474</v>
      </c>
      <c r="AF7" s="17">
        <v>147274</v>
      </c>
      <c r="AG7" s="17">
        <v>141087</v>
      </c>
      <c r="AH7" s="17">
        <v>166869</v>
      </c>
      <c r="AI7" s="17">
        <v>190037</v>
      </c>
      <c r="AJ7" s="17">
        <v>199178</v>
      </c>
      <c r="AK7" s="17">
        <v>207760</v>
      </c>
      <c r="AL7" s="17">
        <v>203234</v>
      </c>
      <c r="AM7" s="17">
        <v>190732</v>
      </c>
      <c r="AN7" s="17">
        <v>186538</v>
      </c>
      <c r="AO7" s="17">
        <v>191352</v>
      </c>
      <c r="AP7" s="17">
        <v>187715</v>
      </c>
      <c r="AQ7" s="17">
        <v>206215</v>
      </c>
      <c r="AR7" s="18">
        <v>208405</v>
      </c>
      <c r="AS7" s="19">
        <v>224266</v>
      </c>
      <c r="AT7" s="19">
        <v>263542</v>
      </c>
      <c r="AU7" s="20">
        <v>269399</v>
      </c>
      <c r="AV7" s="20">
        <v>285785</v>
      </c>
      <c r="AW7" s="19">
        <v>274939</v>
      </c>
      <c r="AX7" s="19">
        <v>292686</v>
      </c>
      <c r="AY7" s="20">
        <v>386118</v>
      </c>
      <c r="AZ7" s="20">
        <v>449375</v>
      </c>
      <c r="BA7" s="20">
        <v>472447</v>
      </c>
      <c r="BB7" s="20">
        <v>512967</v>
      </c>
      <c r="BC7" s="20">
        <v>549888</v>
      </c>
      <c r="BD7" s="20">
        <v>475386</v>
      </c>
      <c r="BE7" s="21">
        <v>508032</v>
      </c>
      <c r="BF7" s="21">
        <v>554018</v>
      </c>
      <c r="BG7" s="21">
        <v>582166</v>
      </c>
      <c r="BH7" s="21">
        <v>601573</v>
      </c>
      <c r="BI7" s="22">
        <v>582806.07999999996</v>
      </c>
      <c r="BJ7" s="21">
        <v>525006.86800000002</v>
      </c>
      <c r="BK7" s="21">
        <v>539797.49699999997</v>
      </c>
      <c r="BL7" s="21">
        <v>542782.87099999993</v>
      </c>
      <c r="BM7" s="23">
        <v>558555.23</v>
      </c>
      <c r="BN7" s="23">
        <v>565577</v>
      </c>
      <c r="BO7" s="37">
        <v>615730</v>
      </c>
      <c r="BP7" s="37">
        <v>632740</v>
      </c>
      <c r="BQ7" s="40">
        <v>636213</v>
      </c>
      <c r="BR7" s="40">
        <v>665357</v>
      </c>
      <c r="BS7" s="51">
        <v>672871</v>
      </c>
      <c r="BT7" s="51">
        <v>681901</v>
      </c>
      <c r="BU7" s="51">
        <v>659457</v>
      </c>
      <c r="BV7" s="51">
        <v>709776</v>
      </c>
    </row>
    <row r="8" spans="1:74" ht="9.25" customHeight="1">
      <c r="A8" s="16" t="s">
        <v>6</v>
      </c>
      <c r="B8" s="17">
        <v>3714</v>
      </c>
      <c r="C8" s="17">
        <v>4528</v>
      </c>
      <c r="D8" s="17">
        <v>6176</v>
      </c>
      <c r="E8" s="17">
        <v>8423</v>
      </c>
      <c r="F8" s="17">
        <v>9205</v>
      </c>
      <c r="G8" s="17">
        <v>9933</v>
      </c>
      <c r="H8" s="17">
        <v>9751</v>
      </c>
      <c r="I8" s="17">
        <v>11023</v>
      </c>
      <c r="J8" s="17">
        <v>12693</v>
      </c>
      <c r="K8" s="17">
        <v>12634</v>
      </c>
      <c r="L8" s="17">
        <v>15175</v>
      </c>
      <c r="M8" s="17">
        <v>17389</v>
      </c>
      <c r="N8" s="17">
        <v>19700</v>
      </c>
      <c r="O8" s="17">
        <v>28788</v>
      </c>
      <c r="P8" s="17">
        <v>34306</v>
      </c>
      <c r="Q8" s="17">
        <v>42376</v>
      </c>
      <c r="R8" s="17">
        <v>49973</v>
      </c>
      <c r="S8" s="17">
        <v>57117</v>
      </c>
      <c r="T8" s="17">
        <v>60948</v>
      </c>
      <c r="U8" s="17">
        <v>68443</v>
      </c>
      <c r="V8" s="17">
        <v>76666</v>
      </c>
      <c r="W8" s="17">
        <v>78002</v>
      </c>
      <c r="X8" s="17">
        <v>80909</v>
      </c>
      <c r="Y8" s="17">
        <v>84894</v>
      </c>
      <c r="Z8" s="17">
        <v>92563</v>
      </c>
      <c r="AA8" s="17">
        <v>91727</v>
      </c>
      <c r="AB8" s="17">
        <v>83881</v>
      </c>
      <c r="AC8" s="17">
        <v>90677</v>
      </c>
      <c r="AD8" s="17">
        <v>91320</v>
      </c>
      <c r="AE8" s="17">
        <v>103134</v>
      </c>
      <c r="AF8" s="17">
        <v>106437</v>
      </c>
      <c r="AG8" s="17">
        <v>104213</v>
      </c>
      <c r="AH8" s="17">
        <v>108260</v>
      </c>
      <c r="AI8" s="17">
        <v>126732</v>
      </c>
      <c r="AJ8" s="17">
        <v>131129</v>
      </c>
      <c r="AK8" s="17">
        <v>134229</v>
      </c>
      <c r="AL8" s="17">
        <v>182805</v>
      </c>
      <c r="AM8" s="17">
        <v>198222</v>
      </c>
      <c r="AN8" s="17">
        <v>210168</v>
      </c>
      <c r="AO8" s="17">
        <v>207851</v>
      </c>
      <c r="AP8" s="17">
        <v>200010</v>
      </c>
      <c r="AQ8" s="17">
        <v>186197</v>
      </c>
      <c r="AR8" s="18">
        <v>173200</v>
      </c>
      <c r="AS8" s="19">
        <v>189394</v>
      </c>
      <c r="AT8" s="19">
        <v>197287</v>
      </c>
      <c r="AU8" s="20">
        <v>186477</v>
      </c>
      <c r="AV8" s="20">
        <v>200736</v>
      </c>
      <c r="AW8" s="19">
        <v>177626</v>
      </c>
      <c r="AX8" s="19">
        <v>244903</v>
      </c>
      <c r="AY8" s="20">
        <v>223417</v>
      </c>
      <c r="AZ8" s="20">
        <v>237293</v>
      </c>
      <c r="BA8" s="20">
        <v>274914</v>
      </c>
      <c r="BB8" s="20">
        <v>273178</v>
      </c>
      <c r="BC8" s="20">
        <v>229112</v>
      </c>
      <c r="BD8" s="20">
        <v>267048</v>
      </c>
      <c r="BE8" s="21">
        <v>285813</v>
      </c>
      <c r="BF8" s="21">
        <v>307303</v>
      </c>
      <c r="BG8" s="21">
        <v>302684</v>
      </c>
      <c r="BH8" s="21">
        <v>306861</v>
      </c>
      <c r="BI8" s="22">
        <v>296093.071</v>
      </c>
      <c r="BJ8" s="21">
        <v>268457.23300000001</v>
      </c>
      <c r="BK8" s="21">
        <v>270327.40700000001</v>
      </c>
      <c r="BL8" s="21">
        <v>275813.61</v>
      </c>
      <c r="BM8" s="23">
        <v>269437.98200000002</v>
      </c>
      <c r="BN8" s="23">
        <v>269903</v>
      </c>
      <c r="BO8" s="37">
        <v>270988</v>
      </c>
      <c r="BP8" s="37">
        <v>274012</v>
      </c>
      <c r="BQ8" s="40">
        <v>273595</v>
      </c>
      <c r="BR8" s="40">
        <v>274247</v>
      </c>
      <c r="BS8" s="51">
        <v>284610</v>
      </c>
      <c r="BT8" s="51">
        <v>286501</v>
      </c>
      <c r="BU8" s="51">
        <v>276173</v>
      </c>
      <c r="BV8" s="51">
        <v>306588</v>
      </c>
    </row>
    <row r="9" spans="1:74" ht="9.25" customHeight="1">
      <c r="A9" s="26" t="s">
        <v>7</v>
      </c>
      <c r="B9" s="27">
        <v>455</v>
      </c>
      <c r="C9" s="27">
        <v>555</v>
      </c>
      <c r="D9" s="27">
        <v>677</v>
      </c>
      <c r="E9" s="27">
        <v>854</v>
      </c>
      <c r="F9" s="27">
        <v>855</v>
      </c>
      <c r="G9" s="27">
        <v>1120</v>
      </c>
      <c r="H9" s="27">
        <v>2478</v>
      </c>
      <c r="I9" s="27">
        <v>2116</v>
      </c>
      <c r="J9" s="27">
        <v>1916</v>
      </c>
      <c r="K9" s="27">
        <v>2214</v>
      </c>
      <c r="L9" s="27">
        <v>3881</v>
      </c>
      <c r="M9" s="27">
        <v>5202</v>
      </c>
      <c r="N9" s="27">
        <v>5696</v>
      </c>
      <c r="O9" s="27">
        <v>9556</v>
      </c>
      <c r="P9" s="27">
        <v>10096</v>
      </c>
      <c r="Q9" s="27">
        <v>6977</v>
      </c>
      <c r="R9" s="27">
        <v>9139</v>
      </c>
      <c r="S9" s="27">
        <v>10382</v>
      </c>
      <c r="T9" s="27">
        <v>10154</v>
      </c>
      <c r="U9" s="27">
        <v>11760</v>
      </c>
      <c r="V9" s="27">
        <v>12456</v>
      </c>
      <c r="W9" s="27">
        <v>12709</v>
      </c>
      <c r="X9" s="27">
        <v>15177</v>
      </c>
      <c r="Y9" s="27">
        <v>15468</v>
      </c>
      <c r="Z9" s="27">
        <v>16826</v>
      </c>
      <c r="AA9" s="27">
        <v>18109</v>
      </c>
      <c r="AB9" s="27">
        <v>19022</v>
      </c>
      <c r="AC9" s="27">
        <v>20457</v>
      </c>
      <c r="AD9" s="27">
        <v>22508</v>
      </c>
      <c r="AE9" s="27">
        <v>22139</v>
      </c>
      <c r="AF9" s="27">
        <v>26915</v>
      </c>
      <c r="AG9" s="27">
        <v>35156</v>
      </c>
      <c r="AH9" s="27">
        <v>36731</v>
      </c>
      <c r="AI9" s="27">
        <v>39711</v>
      </c>
      <c r="AJ9" s="27">
        <v>44245</v>
      </c>
      <c r="AK9" s="27">
        <v>47896</v>
      </c>
      <c r="AL9" s="27">
        <v>51558</v>
      </c>
      <c r="AM9" s="27">
        <v>53934</v>
      </c>
      <c r="AN9" s="27">
        <v>59494</v>
      </c>
      <c r="AO9" s="27">
        <v>56124</v>
      </c>
      <c r="AP9" s="27">
        <v>53476</v>
      </c>
      <c r="AQ9" s="27">
        <v>53266</v>
      </c>
      <c r="AR9" s="28">
        <v>52689</v>
      </c>
      <c r="AS9" s="29">
        <v>52503</v>
      </c>
      <c r="AT9" s="29">
        <v>55154</v>
      </c>
      <c r="AU9" s="30">
        <v>62278</v>
      </c>
      <c r="AV9" s="30">
        <v>63381</v>
      </c>
      <c r="AW9" s="29">
        <v>59666</v>
      </c>
      <c r="AX9" s="29">
        <v>63530</v>
      </c>
      <c r="AY9" s="30">
        <v>62830</v>
      </c>
      <c r="AZ9" s="30">
        <v>57741</v>
      </c>
      <c r="BA9" s="30">
        <v>58320</v>
      </c>
      <c r="BB9" s="30">
        <v>56812</v>
      </c>
      <c r="BC9" s="30">
        <v>61713</v>
      </c>
      <c r="BD9" s="30">
        <v>63785</v>
      </c>
      <c r="BE9" s="31">
        <v>65569</v>
      </c>
      <c r="BF9" s="31">
        <v>72646</v>
      </c>
      <c r="BG9" s="31">
        <v>70459</v>
      </c>
      <c r="BH9" s="31">
        <v>71608</v>
      </c>
      <c r="BI9" s="32">
        <v>66169.054000000004</v>
      </c>
      <c r="BJ9" s="31">
        <v>68518.284</v>
      </c>
      <c r="BK9" s="31">
        <v>61038.947999999997</v>
      </c>
      <c r="BL9" s="31">
        <v>61119.038</v>
      </c>
      <c r="BM9" s="33">
        <v>60643.659999999996</v>
      </c>
      <c r="BN9" s="33">
        <v>61172</v>
      </c>
      <c r="BO9" s="38">
        <v>63892</v>
      </c>
      <c r="BP9" s="38">
        <v>65358</v>
      </c>
      <c r="BQ9" s="41">
        <v>70056</v>
      </c>
      <c r="BR9" s="41">
        <v>76830</v>
      </c>
      <c r="BS9" s="52">
        <v>80315</v>
      </c>
      <c r="BT9" s="52">
        <v>84114</v>
      </c>
      <c r="BU9" s="52">
        <v>77492</v>
      </c>
      <c r="BV9" s="52">
        <v>80110</v>
      </c>
    </row>
    <row r="10" spans="1:74" ht="9.25" customHeight="1">
      <c r="A10" s="16" t="s">
        <v>8</v>
      </c>
      <c r="B10" s="17">
        <v>2723</v>
      </c>
      <c r="C10" s="17">
        <v>3501</v>
      </c>
      <c r="D10" s="17">
        <v>4356</v>
      </c>
      <c r="E10" s="17">
        <v>6251</v>
      </c>
      <c r="F10" s="17">
        <v>6909</v>
      </c>
      <c r="G10" s="17">
        <v>7245</v>
      </c>
      <c r="H10" s="17">
        <v>6779</v>
      </c>
      <c r="I10" s="17">
        <v>6389</v>
      </c>
      <c r="J10" s="17">
        <v>4436</v>
      </c>
      <c r="K10" s="17">
        <v>4070</v>
      </c>
      <c r="L10" s="17">
        <v>4551</v>
      </c>
      <c r="M10" s="17">
        <v>8861</v>
      </c>
      <c r="N10" s="17">
        <v>10489</v>
      </c>
      <c r="O10" s="17">
        <v>11803</v>
      </c>
      <c r="P10" s="17">
        <v>12051</v>
      </c>
      <c r="Q10" s="17">
        <v>12937</v>
      </c>
      <c r="R10" s="17">
        <v>13201</v>
      </c>
      <c r="S10" s="17">
        <v>13658</v>
      </c>
      <c r="T10" s="17">
        <v>13755</v>
      </c>
      <c r="U10" s="17">
        <v>14153</v>
      </c>
      <c r="V10" s="17">
        <v>14183</v>
      </c>
      <c r="W10" s="17">
        <v>14856</v>
      </c>
      <c r="X10" s="17">
        <v>17512</v>
      </c>
      <c r="Y10" s="17">
        <v>16722</v>
      </c>
      <c r="Z10" s="17">
        <v>17657</v>
      </c>
      <c r="AA10" s="17">
        <v>17679</v>
      </c>
      <c r="AB10" s="17">
        <v>17296</v>
      </c>
      <c r="AC10" s="17">
        <v>17565</v>
      </c>
      <c r="AD10" s="17">
        <v>19797</v>
      </c>
      <c r="AE10" s="17">
        <v>17438</v>
      </c>
      <c r="AF10" s="17">
        <v>17436</v>
      </c>
      <c r="AG10" s="17">
        <v>17293</v>
      </c>
      <c r="AH10" s="17">
        <v>15325</v>
      </c>
      <c r="AI10" s="17">
        <v>18490</v>
      </c>
      <c r="AJ10" s="17">
        <v>20622</v>
      </c>
      <c r="AK10" s="17">
        <v>20709</v>
      </c>
      <c r="AL10" s="17">
        <v>20260</v>
      </c>
      <c r="AM10" s="17">
        <v>21500</v>
      </c>
      <c r="AN10" s="17">
        <v>22094</v>
      </c>
      <c r="AO10" s="17">
        <v>23327</v>
      </c>
      <c r="AP10" s="17">
        <v>23356</v>
      </c>
      <c r="AQ10" s="17">
        <v>22818</v>
      </c>
      <c r="AR10" s="18">
        <v>22148</v>
      </c>
      <c r="AS10" s="19">
        <v>21092</v>
      </c>
      <c r="AT10" s="19">
        <v>20872</v>
      </c>
      <c r="AU10" s="20">
        <v>21889</v>
      </c>
      <c r="AV10" s="20">
        <v>21363</v>
      </c>
      <c r="AW10" s="19">
        <v>21082</v>
      </c>
      <c r="AX10" s="19">
        <v>21689</v>
      </c>
      <c r="AY10" s="20">
        <v>21541</v>
      </c>
      <c r="AZ10" s="20">
        <v>22223</v>
      </c>
      <c r="BA10" s="20">
        <v>23215</v>
      </c>
      <c r="BB10" s="20">
        <v>27482</v>
      </c>
      <c r="BC10" s="20">
        <v>27171</v>
      </c>
      <c r="BD10" s="20">
        <v>25710</v>
      </c>
      <c r="BE10" s="21">
        <v>24413</v>
      </c>
      <c r="BF10" s="21">
        <v>28571</v>
      </c>
      <c r="BG10" s="21">
        <v>19641</v>
      </c>
      <c r="BH10" s="21">
        <v>21864</v>
      </c>
      <c r="BI10" s="22">
        <v>26969.010999999999</v>
      </c>
      <c r="BJ10" s="21">
        <v>21898.959000000003</v>
      </c>
      <c r="BK10" s="21">
        <v>21556.850000000002</v>
      </c>
      <c r="BL10" s="21">
        <v>18007.311999999998</v>
      </c>
      <c r="BM10" s="23">
        <v>16558.781999999999</v>
      </c>
      <c r="BN10" s="23">
        <v>16360</v>
      </c>
      <c r="BO10" s="37">
        <v>17680</v>
      </c>
      <c r="BP10" s="37">
        <v>15554</v>
      </c>
      <c r="BQ10" s="40">
        <v>15664</v>
      </c>
      <c r="BR10" s="40">
        <v>9606</v>
      </c>
      <c r="BS10" s="50">
        <v>6989</v>
      </c>
      <c r="BT10" s="50">
        <v>16539</v>
      </c>
      <c r="BU10" s="50">
        <v>11389</v>
      </c>
      <c r="BV10" s="50">
        <v>12598</v>
      </c>
    </row>
    <row r="11" spans="1:74" ht="9.25" customHeight="1">
      <c r="A11" s="16" t="s">
        <v>9</v>
      </c>
      <c r="B11" s="17">
        <v>4387</v>
      </c>
      <c r="C11" s="17">
        <v>6490</v>
      </c>
      <c r="D11" s="17">
        <v>10553</v>
      </c>
      <c r="E11" s="17">
        <v>14610</v>
      </c>
      <c r="F11" s="17">
        <v>15934</v>
      </c>
      <c r="G11" s="17">
        <v>17657</v>
      </c>
      <c r="H11" s="17">
        <v>20229</v>
      </c>
      <c r="I11" s="17">
        <v>23879</v>
      </c>
      <c r="J11" s="17">
        <v>29275</v>
      </c>
      <c r="K11" s="17">
        <v>35406</v>
      </c>
      <c r="L11" s="17">
        <v>44723</v>
      </c>
      <c r="M11" s="17">
        <v>50171</v>
      </c>
      <c r="N11" s="17">
        <v>54768</v>
      </c>
      <c r="O11" s="17">
        <v>61806</v>
      </c>
      <c r="P11" s="17">
        <v>72514</v>
      </c>
      <c r="Q11" s="17">
        <v>82588</v>
      </c>
      <c r="R11" s="17">
        <v>95932</v>
      </c>
      <c r="S11" s="17">
        <v>111246</v>
      </c>
      <c r="T11" s="17">
        <v>125399</v>
      </c>
      <c r="U11" s="17">
        <v>143899</v>
      </c>
      <c r="V11" s="17">
        <v>169558</v>
      </c>
      <c r="W11" s="17">
        <v>183679</v>
      </c>
      <c r="X11" s="17">
        <v>222224</v>
      </c>
      <c r="Y11" s="17">
        <v>266790</v>
      </c>
      <c r="Z11" s="17">
        <v>324421</v>
      </c>
      <c r="AA11" s="17">
        <v>314020</v>
      </c>
      <c r="AB11" s="17">
        <v>302316</v>
      </c>
      <c r="AC11" s="17">
        <v>329302</v>
      </c>
      <c r="AD11" s="17">
        <v>361455</v>
      </c>
      <c r="AE11" s="17">
        <v>414021</v>
      </c>
      <c r="AF11" s="17">
        <v>457071</v>
      </c>
      <c r="AG11" s="17">
        <v>498560</v>
      </c>
      <c r="AH11" s="17">
        <v>558605</v>
      </c>
      <c r="AI11" s="17">
        <v>577151</v>
      </c>
      <c r="AJ11" s="17">
        <v>640032</v>
      </c>
      <c r="AK11" s="17">
        <v>688430</v>
      </c>
      <c r="AL11" s="17">
        <v>676013</v>
      </c>
      <c r="AM11" s="17">
        <v>708054</v>
      </c>
      <c r="AN11" s="17">
        <v>754771</v>
      </c>
      <c r="AO11" s="17">
        <v>781715</v>
      </c>
      <c r="AP11" s="17">
        <v>859993</v>
      </c>
      <c r="AQ11" s="17">
        <v>843849</v>
      </c>
      <c r="AR11" s="18">
        <v>845962</v>
      </c>
      <c r="AS11" s="19">
        <v>901509</v>
      </c>
      <c r="AT11" s="19">
        <v>932513</v>
      </c>
      <c r="AU11" s="20">
        <v>963393</v>
      </c>
      <c r="AV11" s="20">
        <v>1004016</v>
      </c>
      <c r="AW11" s="19">
        <v>1038762</v>
      </c>
      <c r="AX11" s="19">
        <v>1136005</v>
      </c>
      <c r="AY11" s="20">
        <v>1183731</v>
      </c>
      <c r="AZ11" s="20">
        <v>1245526</v>
      </c>
      <c r="BA11" s="20">
        <v>1279860</v>
      </c>
      <c r="BB11" s="20">
        <v>1289858</v>
      </c>
      <c r="BC11" s="20">
        <v>1355450</v>
      </c>
      <c r="BD11" s="20">
        <v>1432663</v>
      </c>
      <c r="BE11" s="21">
        <v>1576307</v>
      </c>
      <c r="BF11" s="21">
        <v>1729768</v>
      </c>
      <c r="BG11" s="21">
        <v>1794987</v>
      </c>
      <c r="BH11" s="21">
        <v>1680451</v>
      </c>
      <c r="BI11" s="22">
        <v>1495714.8299999998</v>
      </c>
      <c r="BJ11" s="21">
        <v>1332915.3810000003</v>
      </c>
      <c r="BK11" s="21">
        <v>1359250.5529999998</v>
      </c>
      <c r="BL11" s="21">
        <v>1349343.952</v>
      </c>
      <c r="BM11" s="23">
        <v>1358480.3959999999</v>
      </c>
      <c r="BN11" s="23">
        <v>1415621</v>
      </c>
      <c r="BO11" s="37">
        <v>1442091</v>
      </c>
      <c r="BP11" s="37">
        <v>1556161</v>
      </c>
      <c r="BQ11" s="40">
        <v>1646842</v>
      </c>
      <c r="BR11" s="40">
        <v>1705522</v>
      </c>
      <c r="BS11" s="51">
        <v>1781546</v>
      </c>
      <c r="BT11" s="51">
        <v>1781089</v>
      </c>
      <c r="BU11" s="51">
        <v>1749833</v>
      </c>
      <c r="BV11" s="51">
        <v>1887387</v>
      </c>
    </row>
    <row r="12" spans="1:74" ht="9.25" customHeight="1">
      <c r="A12" s="16" t="s">
        <v>10</v>
      </c>
      <c r="B12" s="17">
        <v>7629</v>
      </c>
      <c r="C12" s="17">
        <v>9088</v>
      </c>
      <c r="D12" s="17">
        <v>12128</v>
      </c>
      <c r="E12" s="17">
        <v>15668</v>
      </c>
      <c r="F12" s="17">
        <v>16795</v>
      </c>
      <c r="G12" s="17">
        <v>19329</v>
      </c>
      <c r="H12" s="17">
        <v>23194</v>
      </c>
      <c r="I12" s="17">
        <v>30990</v>
      </c>
      <c r="J12" s="17">
        <v>40431</v>
      </c>
      <c r="K12" s="17">
        <v>47055</v>
      </c>
      <c r="L12" s="17">
        <v>55969</v>
      </c>
      <c r="M12" s="17">
        <v>64601</v>
      </c>
      <c r="N12" s="17">
        <v>75474</v>
      </c>
      <c r="O12" s="17">
        <v>85420</v>
      </c>
      <c r="P12" s="17">
        <v>92668</v>
      </c>
      <c r="Q12" s="17">
        <v>99959</v>
      </c>
      <c r="R12" s="17">
        <v>117707</v>
      </c>
      <c r="S12" s="17">
        <v>147521</v>
      </c>
      <c r="T12" s="17">
        <v>163675</v>
      </c>
      <c r="U12" s="17">
        <v>186366</v>
      </c>
      <c r="V12" s="17">
        <v>208646</v>
      </c>
      <c r="W12" s="17">
        <v>229850</v>
      </c>
      <c r="X12" s="17">
        <v>269531</v>
      </c>
      <c r="Y12" s="17">
        <v>298848</v>
      </c>
      <c r="Z12" s="17">
        <v>354584</v>
      </c>
      <c r="AA12" s="17">
        <v>352092</v>
      </c>
      <c r="AB12" s="17">
        <v>319855</v>
      </c>
      <c r="AC12" s="17">
        <v>342596</v>
      </c>
      <c r="AD12" s="17">
        <v>376900</v>
      </c>
      <c r="AE12" s="17">
        <v>419692</v>
      </c>
      <c r="AF12" s="17">
        <v>455215</v>
      </c>
      <c r="AG12" s="17">
        <v>449287</v>
      </c>
      <c r="AH12" s="17">
        <v>524460</v>
      </c>
      <c r="AI12" s="17">
        <v>514229</v>
      </c>
      <c r="AJ12" s="17">
        <v>583651</v>
      </c>
      <c r="AK12" s="17">
        <v>648129</v>
      </c>
      <c r="AL12" s="17">
        <v>677143</v>
      </c>
      <c r="AM12" s="17">
        <v>724290</v>
      </c>
      <c r="AN12" s="17">
        <v>782834</v>
      </c>
      <c r="AO12" s="17">
        <v>841981</v>
      </c>
      <c r="AP12" s="17">
        <v>847733</v>
      </c>
      <c r="AQ12" s="17">
        <v>867436</v>
      </c>
      <c r="AR12" s="18">
        <v>862607</v>
      </c>
      <c r="AS12" s="19">
        <v>888773</v>
      </c>
      <c r="AT12" s="19">
        <v>1003668</v>
      </c>
      <c r="AU12" s="20">
        <v>1050161</v>
      </c>
      <c r="AV12" s="20">
        <v>1115612</v>
      </c>
      <c r="AW12" s="19">
        <v>1173285</v>
      </c>
      <c r="AX12" s="19">
        <v>1192282</v>
      </c>
      <c r="AY12" s="20">
        <v>1239929</v>
      </c>
      <c r="AZ12" s="20">
        <v>1330511</v>
      </c>
      <c r="BA12" s="20">
        <v>1390609</v>
      </c>
      <c r="BB12" s="20">
        <v>1416674</v>
      </c>
      <c r="BC12" s="20">
        <v>1458812</v>
      </c>
      <c r="BD12" s="20">
        <v>1436781</v>
      </c>
      <c r="BE12" s="21">
        <v>1461981</v>
      </c>
      <c r="BF12" s="21">
        <v>1696811</v>
      </c>
      <c r="BG12" s="21">
        <v>1567130</v>
      </c>
      <c r="BH12" s="21">
        <v>1515560</v>
      </c>
      <c r="BI12" s="22">
        <v>1336492.8279999997</v>
      </c>
      <c r="BJ12" s="21">
        <v>1201345.031</v>
      </c>
      <c r="BK12" s="21">
        <v>1265888.0930000001</v>
      </c>
      <c r="BL12" s="21">
        <v>1191556.412</v>
      </c>
      <c r="BM12" s="23">
        <v>1130189.5330000001</v>
      </c>
      <c r="BN12" s="23">
        <v>1248710</v>
      </c>
      <c r="BO12" s="37">
        <v>1253328</v>
      </c>
      <c r="BP12" s="37">
        <v>1475199</v>
      </c>
      <c r="BQ12" s="40">
        <v>1327172</v>
      </c>
      <c r="BR12" s="40">
        <v>1541008</v>
      </c>
      <c r="BS12" s="51">
        <v>1322853</v>
      </c>
      <c r="BT12" s="51">
        <v>1342455</v>
      </c>
      <c r="BU12" s="51">
        <v>1382085</v>
      </c>
      <c r="BV12" s="51">
        <v>1481265</v>
      </c>
    </row>
    <row r="13" spans="1:74" ht="9.25" customHeight="1">
      <c r="A13" s="16" t="s">
        <v>11</v>
      </c>
      <c r="B13" s="17">
        <v>0</v>
      </c>
      <c r="C13" s="17">
        <v>0</v>
      </c>
      <c r="D13" s="17">
        <v>0</v>
      </c>
      <c r="E13" s="17">
        <v>0</v>
      </c>
      <c r="F13" s="17">
        <v>0</v>
      </c>
      <c r="G13" s="17">
        <v>0</v>
      </c>
      <c r="H13" s="17">
        <v>0</v>
      </c>
      <c r="I13" s="17">
        <v>0</v>
      </c>
      <c r="J13" s="17">
        <v>0</v>
      </c>
      <c r="K13" s="17">
        <v>0</v>
      </c>
      <c r="L13" s="17">
        <v>3683</v>
      </c>
      <c r="M13" s="17">
        <v>3863</v>
      </c>
      <c r="N13" s="17">
        <v>3810</v>
      </c>
      <c r="O13" s="17">
        <v>4098</v>
      </c>
      <c r="P13" s="17">
        <v>4301</v>
      </c>
      <c r="Q13" s="17">
        <v>4699</v>
      </c>
      <c r="R13" s="17">
        <v>5373</v>
      </c>
      <c r="S13" s="17">
        <v>5646</v>
      </c>
      <c r="T13" s="17">
        <v>5697</v>
      </c>
      <c r="U13" s="17">
        <v>6919</v>
      </c>
      <c r="V13" s="17">
        <v>8020</v>
      </c>
      <c r="W13" s="17">
        <v>8367</v>
      </c>
      <c r="X13" s="17">
        <v>9642</v>
      </c>
      <c r="Y13" s="17">
        <v>10553</v>
      </c>
      <c r="Z13" s="17">
        <v>11556</v>
      </c>
      <c r="AA13" s="17">
        <v>12419</v>
      </c>
      <c r="AB13" s="17">
        <v>13936</v>
      </c>
      <c r="AC13" s="17">
        <v>14996</v>
      </c>
      <c r="AD13" s="17">
        <v>15093</v>
      </c>
      <c r="AE13" s="17">
        <v>16526</v>
      </c>
      <c r="AF13" s="17">
        <v>17765</v>
      </c>
      <c r="AG13" s="17">
        <v>19169</v>
      </c>
      <c r="AH13" s="17">
        <v>16910</v>
      </c>
      <c r="AI13" s="17">
        <v>18583</v>
      </c>
      <c r="AJ13" s="17">
        <v>17500</v>
      </c>
      <c r="AK13" s="17">
        <v>18478</v>
      </c>
      <c r="AL13" s="17">
        <v>19470</v>
      </c>
      <c r="AM13" s="17">
        <v>20543</v>
      </c>
      <c r="AN13" s="17">
        <v>21345</v>
      </c>
      <c r="AO13" s="17">
        <v>22999</v>
      </c>
      <c r="AP13" s="17">
        <v>24587</v>
      </c>
      <c r="AQ13" s="17">
        <v>25795</v>
      </c>
      <c r="AR13" s="18">
        <v>26131</v>
      </c>
      <c r="AS13" s="19">
        <v>25912</v>
      </c>
      <c r="AT13" s="19">
        <v>26023</v>
      </c>
      <c r="AU13" s="20">
        <v>31751</v>
      </c>
      <c r="AV13" s="20">
        <v>27525</v>
      </c>
      <c r="AW13" s="19">
        <v>30841</v>
      </c>
      <c r="AX13" s="19">
        <v>28795</v>
      </c>
      <c r="AY13" s="20">
        <v>29276</v>
      </c>
      <c r="AZ13" s="20">
        <v>33061</v>
      </c>
      <c r="BA13" s="20">
        <v>33821</v>
      </c>
      <c r="BB13" s="20">
        <v>33075</v>
      </c>
      <c r="BC13" s="20">
        <v>38429</v>
      </c>
      <c r="BD13" s="20">
        <v>36661</v>
      </c>
      <c r="BE13" s="21">
        <v>44000</v>
      </c>
      <c r="BF13" s="21">
        <v>46756</v>
      </c>
      <c r="BG13" s="21">
        <v>53710</v>
      </c>
      <c r="BH13" s="21">
        <v>54841</v>
      </c>
      <c r="BI13" s="22">
        <v>59017.404000000002</v>
      </c>
      <c r="BJ13" s="21">
        <v>49460.703000000001</v>
      </c>
      <c r="BK13" s="21">
        <v>52400.898999999998</v>
      </c>
      <c r="BL13" s="21">
        <v>48795.745999999999</v>
      </c>
      <c r="BM13" s="23">
        <v>50307.777000000002</v>
      </c>
      <c r="BN13" s="23">
        <v>53331</v>
      </c>
      <c r="BO13" s="37">
        <v>47996</v>
      </c>
      <c r="BP13" s="37">
        <v>53117</v>
      </c>
      <c r="BQ13" s="40">
        <v>49765</v>
      </c>
      <c r="BR13" s="40">
        <v>51433</v>
      </c>
      <c r="BS13" s="52">
        <v>51074</v>
      </c>
      <c r="BT13" s="52">
        <v>48952</v>
      </c>
      <c r="BU13" s="52">
        <v>42941</v>
      </c>
      <c r="BV13" s="52">
        <v>47587</v>
      </c>
    </row>
    <row r="14" spans="1:74" ht="9.25" customHeight="1">
      <c r="A14" s="8" t="s">
        <v>12</v>
      </c>
      <c r="B14" s="9">
        <v>4021</v>
      </c>
      <c r="C14" s="9">
        <v>4849</v>
      </c>
      <c r="D14" s="9">
        <v>6076</v>
      </c>
      <c r="E14" s="9">
        <v>6631</v>
      </c>
      <c r="F14" s="9">
        <v>8194</v>
      </c>
      <c r="G14" s="9">
        <v>9363</v>
      </c>
      <c r="H14" s="9">
        <v>11272</v>
      </c>
      <c r="I14" s="9">
        <v>12557</v>
      </c>
      <c r="J14" s="9">
        <v>12871</v>
      </c>
      <c r="K14" s="9">
        <v>10728</v>
      </c>
      <c r="L14" s="9">
        <v>13321</v>
      </c>
      <c r="M14" s="9">
        <v>14522</v>
      </c>
      <c r="N14" s="9">
        <v>14274</v>
      </c>
      <c r="O14" s="9">
        <v>15365</v>
      </c>
      <c r="P14" s="9">
        <v>16649</v>
      </c>
      <c r="Q14" s="9">
        <v>16924</v>
      </c>
      <c r="R14" s="9">
        <v>21296</v>
      </c>
      <c r="S14" s="9">
        <v>22200</v>
      </c>
      <c r="T14" s="9">
        <v>23138</v>
      </c>
      <c r="U14" s="9">
        <v>26970</v>
      </c>
      <c r="V14" s="9">
        <v>28023</v>
      </c>
      <c r="W14" s="9">
        <v>25901</v>
      </c>
      <c r="X14" s="9">
        <v>33089</v>
      </c>
      <c r="Y14" s="9">
        <v>34049</v>
      </c>
      <c r="Z14" s="9">
        <v>48469</v>
      </c>
      <c r="AA14" s="9">
        <v>42214</v>
      </c>
      <c r="AB14" s="9">
        <v>50405</v>
      </c>
      <c r="AC14" s="9">
        <v>42764</v>
      </c>
      <c r="AD14" s="9">
        <v>65247</v>
      </c>
      <c r="AE14" s="9">
        <v>70131</v>
      </c>
      <c r="AF14" s="9">
        <v>80264</v>
      </c>
      <c r="AG14" s="9">
        <v>55085</v>
      </c>
      <c r="AH14" s="9">
        <v>74134</v>
      </c>
      <c r="AI14" s="9">
        <v>77044</v>
      </c>
      <c r="AJ14" s="9">
        <v>72386</v>
      </c>
      <c r="AK14" s="9">
        <v>96105</v>
      </c>
      <c r="AL14" s="9">
        <v>99038</v>
      </c>
      <c r="AM14" s="9">
        <v>100003</v>
      </c>
      <c r="AN14" s="9">
        <v>104169</v>
      </c>
      <c r="AO14" s="9">
        <v>106408</v>
      </c>
      <c r="AP14" s="9">
        <v>113134</v>
      </c>
      <c r="AQ14" s="9">
        <v>128235</v>
      </c>
      <c r="AR14" s="10">
        <v>126080</v>
      </c>
      <c r="AS14" s="11">
        <v>130069</v>
      </c>
      <c r="AT14" s="11">
        <v>164510</v>
      </c>
      <c r="AU14" s="12">
        <v>160362</v>
      </c>
      <c r="AV14" s="12">
        <v>169070</v>
      </c>
      <c r="AW14" s="11">
        <v>189019</v>
      </c>
      <c r="AX14" s="11">
        <v>220919</v>
      </c>
      <c r="AY14" s="12">
        <v>185721</v>
      </c>
      <c r="AZ14" s="12">
        <v>215746</v>
      </c>
      <c r="BA14" s="12">
        <v>216281</v>
      </c>
      <c r="BB14" s="12">
        <v>219095</v>
      </c>
      <c r="BC14" s="12">
        <v>224193</v>
      </c>
      <c r="BD14" s="12">
        <v>230046</v>
      </c>
      <c r="BE14" s="13">
        <v>239434</v>
      </c>
      <c r="BF14" s="13">
        <v>251556</v>
      </c>
      <c r="BG14" s="13">
        <v>264048</v>
      </c>
      <c r="BH14" s="13">
        <v>277342</v>
      </c>
      <c r="BI14" s="14">
        <v>246705.47900000002</v>
      </c>
      <c r="BJ14" s="13">
        <v>239542.82500000001</v>
      </c>
      <c r="BK14" s="13">
        <v>256675.54300000003</v>
      </c>
      <c r="BL14" s="13">
        <v>256598.91199999998</v>
      </c>
      <c r="BM14" s="15">
        <v>258660.11</v>
      </c>
      <c r="BN14" s="15">
        <v>263379</v>
      </c>
      <c r="BO14" s="36">
        <v>265840</v>
      </c>
      <c r="BP14" s="36">
        <v>287014</v>
      </c>
      <c r="BQ14" s="39">
        <v>302482</v>
      </c>
      <c r="BR14" s="39">
        <v>305674</v>
      </c>
      <c r="BS14" s="50">
        <v>314805</v>
      </c>
      <c r="BT14" s="50">
        <v>327007</v>
      </c>
      <c r="BU14" s="50">
        <v>344195</v>
      </c>
      <c r="BV14" s="50">
        <v>372352</v>
      </c>
    </row>
    <row r="15" spans="1:74" ht="8.9" customHeight="1">
      <c r="A15" s="16" t="s">
        <v>13</v>
      </c>
      <c r="B15" s="17">
        <v>16114</v>
      </c>
      <c r="C15" s="17">
        <v>20977</v>
      </c>
      <c r="D15" s="17">
        <v>33336</v>
      </c>
      <c r="E15" s="17">
        <v>40185</v>
      </c>
      <c r="F15" s="17">
        <v>42949</v>
      </c>
      <c r="G15" s="17">
        <v>50246</v>
      </c>
      <c r="H15" s="17">
        <v>45837</v>
      </c>
      <c r="I15" s="17">
        <v>40483</v>
      </c>
      <c r="J15" s="17">
        <v>50076</v>
      </c>
      <c r="K15" s="17">
        <v>90456</v>
      </c>
      <c r="L15" s="17">
        <v>110931</v>
      </c>
      <c r="M15" s="17">
        <v>126762</v>
      </c>
      <c r="N15" s="17">
        <v>132329</v>
      </c>
      <c r="O15" s="17">
        <v>148810</v>
      </c>
      <c r="P15" s="17">
        <v>165093</v>
      </c>
      <c r="Q15" s="17">
        <v>187525</v>
      </c>
      <c r="R15" s="17">
        <v>211922</v>
      </c>
      <c r="S15" s="17">
        <v>241244</v>
      </c>
      <c r="T15" s="17">
        <v>258899</v>
      </c>
      <c r="U15" s="17">
        <v>292753</v>
      </c>
      <c r="V15" s="17">
        <v>320404</v>
      </c>
      <c r="W15" s="17">
        <v>324527</v>
      </c>
      <c r="X15" s="17">
        <v>380318</v>
      </c>
      <c r="Y15" s="17">
        <v>418641</v>
      </c>
      <c r="Z15" s="17">
        <v>494592</v>
      </c>
      <c r="AA15" s="17">
        <v>521148</v>
      </c>
      <c r="AB15" s="17">
        <v>483956</v>
      </c>
      <c r="AC15" s="17">
        <v>536243</v>
      </c>
      <c r="AD15" s="17">
        <v>573472</v>
      </c>
      <c r="AE15" s="17">
        <v>626650</v>
      </c>
      <c r="AF15" s="17">
        <v>689913</v>
      </c>
      <c r="AG15" s="17">
        <v>604245</v>
      </c>
      <c r="AH15" s="17">
        <v>639623</v>
      </c>
      <c r="AI15" s="17">
        <v>598967</v>
      </c>
      <c r="AJ15" s="17">
        <v>590838</v>
      </c>
      <c r="AK15" s="17">
        <v>580743</v>
      </c>
      <c r="AL15" s="17">
        <v>604625</v>
      </c>
      <c r="AM15" s="17">
        <v>718119</v>
      </c>
      <c r="AN15" s="17">
        <v>739434</v>
      </c>
      <c r="AO15" s="17">
        <v>783017</v>
      </c>
      <c r="AP15" s="17">
        <v>1006016</v>
      </c>
      <c r="AQ15" s="17">
        <v>959676</v>
      </c>
      <c r="AR15" s="18">
        <v>886347</v>
      </c>
      <c r="AS15" s="19">
        <v>918598</v>
      </c>
      <c r="AT15" s="19">
        <v>1012353</v>
      </c>
      <c r="AU15" s="20">
        <v>916486</v>
      </c>
      <c r="AV15" s="20">
        <v>1124207</v>
      </c>
      <c r="AW15" s="19">
        <v>1139346</v>
      </c>
      <c r="AX15" s="19">
        <v>1469189</v>
      </c>
      <c r="AY15" s="20">
        <v>1083273</v>
      </c>
      <c r="AZ15" s="20">
        <v>1297666</v>
      </c>
      <c r="BA15" s="20">
        <v>1281151</v>
      </c>
      <c r="BB15" s="20">
        <v>1247990</v>
      </c>
      <c r="BC15" s="20">
        <v>1372781</v>
      </c>
      <c r="BD15" s="20">
        <v>1407006</v>
      </c>
      <c r="BE15" s="21">
        <v>1401432</v>
      </c>
      <c r="BF15" s="21">
        <v>1502351</v>
      </c>
      <c r="BG15" s="21">
        <v>1535719</v>
      </c>
      <c r="BH15" s="21">
        <v>1558708</v>
      </c>
      <c r="BI15" s="22">
        <v>1476699.165</v>
      </c>
      <c r="BJ15" s="21">
        <v>1399990.392</v>
      </c>
      <c r="BK15" s="21">
        <v>1404219.6580000001</v>
      </c>
      <c r="BL15" s="21">
        <v>1489532.4579999999</v>
      </c>
      <c r="BM15" s="23">
        <v>1425227.054</v>
      </c>
      <c r="BN15" s="23">
        <v>1489724</v>
      </c>
      <c r="BO15" s="37">
        <v>1511375</v>
      </c>
      <c r="BP15" s="37">
        <v>1681998</v>
      </c>
      <c r="BQ15" s="40">
        <v>1563512</v>
      </c>
      <c r="BR15" s="40">
        <v>1616975</v>
      </c>
      <c r="BS15" s="51">
        <v>1589933</v>
      </c>
      <c r="BT15" s="51">
        <v>1521395</v>
      </c>
      <c r="BU15" s="51">
        <v>1474228</v>
      </c>
      <c r="BV15" s="51">
        <v>1546794</v>
      </c>
    </row>
    <row r="16" spans="1:74" ht="8.9" customHeight="1">
      <c r="A16" s="16" t="s">
        <v>14</v>
      </c>
      <c r="B16" s="17">
        <v>7949</v>
      </c>
      <c r="C16" s="17">
        <v>8979</v>
      </c>
      <c r="D16" s="17">
        <v>11803</v>
      </c>
      <c r="E16" s="17">
        <v>15228</v>
      </c>
      <c r="F16" s="17">
        <v>19783</v>
      </c>
      <c r="G16" s="17">
        <v>21678</v>
      </c>
      <c r="H16" s="17">
        <v>27699</v>
      </c>
      <c r="I16" s="17">
        <v>32732</v>
      </c>
      <c r="J16" s="17">
        <v>36071</v>
      </c>
      <c r="K16" s="17">
        <v>43593</v>
      </c>
      <c r="L16" s="17">
        <v>59679</v>
      </c>
      <c r="M16" s="17">
        <v>72325</v>
      </c>
      <c r="N16" s="17">
        <v>83878</v>
      </c>
      <c r="O16" s="17">
        <v>99514</v>
      </c>
      <c r="P16" s="17">
        <v>115993</v>
      </c>
      <c r="Q16" s="17">
        <v>132093</v>
      </c>
      <c r="R16" s="17">
        <v>153928</v>
      </c>
      <c r="S16" s="17">
        <v>173373</v>
      </c>
      <c r="T16" s="17">
        <v>186716</v>
      </c>
      <c r="U16" s="17">
        <v>212304</v>
      </c>
      <c r="V16" s="17">
        <v>232110</v>
      </c>
      <c r="W16" s="17">
        <v>261539</v>
      </c>
      <c r="X16" s="17">
        <v>295085</v>
      </c>
      <c r="Y16" s="17">
        <v>340868</v>
      </c>
      <c r="Z16" s="17">
        <v>388325</v>
      </c>
      <c r="AA16" s="17">
        <v>379215</v>
      </c>
      <c r="AB16" s="17">
        <v>372928</v>
      </c>
      <c r="AC16" s="17">
        <v>430957</v>
      </c>
      <c r="AD16" s="17">
        <v>463737</v>
      </c>
      <c r="AE16" s="17">
        <v>400235</v>
      </c>
      <c r="AF16" s="17">
        <v>549866</v>
      </c>
      <c r="AG16" s="17">
        <v>577215</v>
      </c>
      <c r="AH16" s="17">
        <v>584170</v>
      </c>
      <c r="AI16" s="17">
        <v>595408</v>
      </c>
      <c r="AJ16" s="17">
        <v>612193</v>
      </c>
      <c r="AK16" s="17">
        <v>662225</v>
      </c>
      <c r="AL16" s="17">
        <v>719496</v>
      </c>
      <c r="AM16" s="17">
        <v>695320</v>
      </c>
      <c r="AN16" s="17">
        <v>599083</v>
      </c>
      <c r="AO16" s="17">
        <v>636735</v>
      </c>
      <c r="AP16" s="17">
        <v>736629</v>
      </c>
      <c r="AQ16" s="17">
        <v>704697</v>
      </c>
      <c r="AR16" s="18">
        <v>731420</v>
      </c>
      <c r="AS16" s="19">
        <v>760720</v>
      </c>
      <c r="AT16" s="19">
        <v>855510</v>
      </c>
      <c r="AU16" s="20">
        <v>925278</v>
      </c>
      <c r="AV16" s="20">
        <v>928205</v>
      </c>
      <c r="AW16" s="19">
        <v>941607</v>
      </c>
      <c r="AX16" s="19">
        <v>1017641</v>
      </c>
      <c r="AY16" s="20">
        <v>991703</v>
      </c>
      <c r="AZ16" s="20">
        <v>928144</v>
      </c>
      <c r="BA16" s="20">
        <v>1276993</v>
      </c>
      <c r="BB16" s="20">
        <v>980567</v>
      </c>
      <c r="BC16" s="20">
        <v>1360322</v>
      </c>
      <c r="BD16" s="20">
        <v>1161600</v>
      </c>
      <c r="BE16" s="21">
        <v>1249988</v>
      </c>
      <c r="BF16" s="21">
        <v>1329939</v>
      </c>
      <c r="BG16" s="21">
        <v>1358806</v>
      </c>
      <c r="BH16" s="21">
        <v>1383666</v>
      </c>
      <c r="BI16" s="22">
        <v>1313018.4509999999</v>
      </c>
      <c r="BJ16" s="21">
        <v>1123661.1480000003</v>
      </c>
      <c r="BK16" s="21">
        <v>1223101.5969999998</v>
      </c>
      <c r="BL16" s="21">
        <v>1237699.5860000001</v>
      </c>
      <c r="BM16" s="23">
        <v>1261203.5999999999</v>
      </c>
      <c r="BN16" s="23">
        <v>1239805</v>
      </c>
      <c r="BO16" s="37">
        <v>1289644</v>
      </c>
      <c r="BP16" s="37">
        <v>1282887</v>
      </c>
      <c r="BQ16" s="40">
        <v>1267878</v>
      </c>
      <c r="BR16" s="40">
        <v>1258350</v>
      </c>
      <c r="BS16" s="51">
        <v>1239956</v>
      </c>
      <c r="BT16" s="51">
        <v>1254793</v>
      </c>
      <c r="BU16" s="51">
        <v>1217918</v>
      </c>
      <c r="BV16" s="51">
        <v>1342757</v>
      </c>
    </row>
    <row r="17" spans="1:74" ht="8.9" customHeight="1">
      <c r="A17" s="26" t="s">
        <v>15</v>
      </c>
      <c r="B17" s="27">
        <v>13174</v>
      </c>
      <c r="C17" s="27">
        <v>15659</v>
      </c>
      <c r="D17" s="27">
        <v>18495</v>
      </c>
      <c r="E17" s="27">
        <v>22815</v>
      </c>
      <c r="F17" s="27">
        <v>20200</v>
      </c>
      <c r="G17" s="27">
        <v>26024</v>
      </c>
      <c r="H17" s="27">
        <v>27589</v>
      </c>
      <c r="I17" s="27">
        <v>31040</v>
      </c>
      <c r="J17" s="27">
        <v>28933</v>
      </c>
      <c r="K17" s="27">
        <v>24850</v>
      </c>
      <c r="L17" s="27">
        <v>33826</v>
      </c>
      <c r="M17" s="27">
        <v>39556</v>
      </c>
      <c r="N17" s="27">
        <v>46714</v>
      </c>
      <c r="O17" s="27">
        <v>51388</v>
      </c>
      <c r="P17" s="27">
        <v>60516</v>
      </c>
      <c r="Q17" s="27">
        <v>68284</v>
      </c>
      <c r="R17" s="27">
        <v>80512</v>
      </c>
      <c r="S17" s="27">
        <v>87479</v>
      </c>
      <c r="T17" s="27">
        <v>99036</v>
      </c>
      <c r="U17" s="27">
        <v>106708</v>
      </c>
      <c r="V17" s="27">
        <v>118446</v>
      </c>
      <c r="W17" s="27">
        <v>131790</v>
      </c>
      <c r="X17" s="27">
        <v>153565</v>
      </c>
      <c r="Y17" s="27">
        <v>178532</v>
      </c>
      <c r="Z17" s="27">
        <v>212366</v>
      </c>
      <c r="AA17" s="27">
        <v>212791</v>
      </c>
      <c r="AB17" s="27">
        <v>210559</v>
      </c>
      <c r="AC17" s="27">
        <v>247726</v>
      </c>
      <c r="AD17" s="27">
        <v>261019</v>
      </c>
      <c r="AE17" s="27">
        <v>260227</v>
      </c>
      <c r="AF17" s="27">
        <v>285770</v>
      </c>
      <c r="AG17" s="27">
        <v>268905</v>
      </c>
      <c r="AH17" s="27">
        <v>299889</v>
      </c>
      <c r="AI17" s="27">
        <v>281796</v>
      </c>
      <c r="AJ17" s="27">
        <v>295598</v>
      </c>
      <c r="AK17" s="27">
        <v>321639</v>
      </c>
      <c r="AL17" s="27">
        <v>305258</v>
      </c>
      <c r="AM17" s="27">
        <v>292468</v>
      </c>
      <c r="AN17" s="27">
        <v>316759</v>
      </c>
      <c r="AO17" s="27">
        <v>338971</v>
      </c>
      <c r="AP17" s="27">
        <v>352924</v>
      </c>
      <c r="AQ17" s="27">
        <v>375714</v>
      </c>
      <c r="AR17" s="28">
        <v>323632</v>
      </c>
      <c r="AS17" s="29">
        <v>332503</v>
      </c>
      <c r="AT17" s="29">
        <v>349270</v>
      </c>
      <c r="AU17" s="30">
        <v>380575</v>
      </c>
      <c r="AV17" s="30">
        <v>413885</v>
      </c>
      <c r="AW17" s="29">
        <v>440561</v>
      </c>
      <c r="AX17" s="29">
        <v>460066</v>
      </c>
      <c r="AY17" s="30">
        <v>483052</v>
      </c>
      <c r="AZ17" s="30">
        <v>498225</v>
      </c>
      <c r="BA17" s="30">
        <v>499373</v>
      </c>
      <c r="BB17" s="30">
        <v>497299</v>
      </c>
      <c r="BC17" s="30">
        <v>506818</v>
      </c>
      <c r="BD17" s="30">
        <v>511804</v>
      </c>
      <c r="BE17" s="31">
        <v>573739</v>
      </c>
      <c r="BF17" s="31">
        <v>584549</v>
      </c>
      <c r="BG17" s="31">
        <v>605515</v>
      </c>
      <c r="BH17" s="31">
        <v>653815</v>
      </c>
      <c r="BI17" s="32">
        <v>653096.16600000008</v>
      </c>
      <c r="BJ17" s="31">
        <v>609332.29700000002</v>
      </c>
      <c r="BK17" s="31">
        <v>644522.99300000002</v>
      </c>
      <c r="BL17" s="31">
        <v>653592.45900000003</v>
      </c>
      <c r="BM17" s="33">
        <v>658411.49800000002</v>
      </c>
      <c r="BN17" s="33">
        <v>664836</v>
      </c>
      <c r="BO17" s="38">
        <v>685040</v>
      </c>
      <c r="BP17" s="38">
        <v>673105</v>
      </c>
      <c r="BQ17" s="41">
        <v>689230</v>
      </c>
      <c r="BR17" s="41">
        <v>706460</v>
      </c>
      <c r="BS17" s="52">
        <v>710927</v>
      </c>
      <c r="BT17" s="52">
        <v>735232</v>
      </c>
      <c r="BU17" s="52">
        <v>757910</v>
      </c>
      <c r="BV17" s="52">
        <v>756689</v>
      </c>
    </row>
    <row r="18" spans="1:74" ht="8.9" customHeight="1">
      <c r="A18" s="16" t="s">
        <v>16</v>
      </c>
      <c r="B18" s="17">
        <v>3559</v>
      </c>
      <c r="C18" s="17">
        <v>5487</v>
      </c>
      <c r="D18" s="17">
        <v>9043</v>
      </c>
      <c r="E18" s="17">
        <v>10732</v>
      </c>
      <c r="F18" s="17">
        <v>11898</v>
      </c>
      <c r="G18" s="17">
        <v>14863</v>
      </c>
      <c r="H18" s="17">
        <v>16433</v>
      </c>
      <c r="I18" s="17">
        <v>18120</v>
      </c>
      <c r="J18" s="17">
        <v>19898</v>
      </c>
      <c r="K18" s="17">
        <v>23614</v>
      </c>
      <c r="L18" s="17">
        <v>35765</v>
      </c>
      <c r="M18" s="17">
        <v>34214</v>
      </c>
      <c r="N18" s="17">
        <v>36748</v>
      </c>
      <c r="O18" s="17">
        <v>43904</v>
      </c>
      <c r="P18" s="17">
        <v>50329</v>
      </c>
      <c r="Q18" s="17">
        <v>55034</v>
      </c>
      <c r="R18" s="17">
        <v>54223</v>
      </c>
      <c r="S18" s="17">
        <v>65428</v>
      </c>
      <c r="T18" s="17">
        <v>70225</v>
      </c>
      <c r="U18" s="17">
        <v>81576</v>
      </c>
      <c r="V18" s="17">
        <v>89067</v>
      </c>
      <c r="W18" s="17">
        <v>96053</v>
      </c>
      <c r="X18" s="17">
        <v>107884</v>
      </c>
      <c r="Y18" s="17">
        <v>127622</v>
      </c>
      <c r="Z18" s="17">
        <v>146294</v>
      </c>
      <c r="AA18" s="17">
        <v>143604</v>
      </c>
      <c r="AB18" s="17">
        <v>142473</v>
      </c>
      <c r="AC18" s="17">
        <v>151200</v>
      </c>
      <c r="AD18" s="17">
        <v>149642</v>
      </c>
      <c r="AE18" s="17">
        <v>159661</v>
      </c>
      <c r="AF18" s="17">
        <v>225898</v>
      </c>
      <c r="AG18" s="17">
        <v>232972</v>
      </c>
      <c r="AH18" s="17">
        <v>244311</v>
      </c>
      <c r="AI18" s="17">
        <v>246980</v>
      </c>
      <c r="AJ18" s="17">
        <v>241594</v>
      </c>
      <c r="AK18" s="17">
        <v>277693</v>
      </c>
      <c r="AL18" s="17">
        <v>282895</v>
      </c>
      <c r="AM18" s="17">
        <v>279752</v>
      </c>
      <c r="AN18" s="17">
        <v>289923</v>
      </c>
      <c r="AO18" s="17">
        <v>302644</v>
      </c>
      <c r="AP18" s="17">
        <v>308517</v>
      </c>
      <c r="AQ18" s="17">
        <v>314068</v>
      </c>
      <c r="AR18" s="18">
        <v>279780</v>
      </c>
      <c r="AS18" s="19">
        <v>265462</v>
      </c>
      <c r="AT18" s="19">
        <v>321369</v>
      </c>
      <c r="AU18" s="20">
        <v>300388</v>
      </c>
      <c r="AV18" s="20">
        <v>345863</v>
      </c>
      <c r="AW18" s="19">
        <v>355350</v>
      </c>
      <c r="AX18" s="19">
        <v>380978</v>
      </c>
      <c r="AY18" s="20">
        <v>374223</v>
      </c>
      <c r="AZ18" s="20">
        <v>380258</v>
      </c>
      <c r="BA18" s="20">
        <v>361628</v>
      </c>
      <c r="BB18" s="20">
        <v>368065</v>
      </c>
      <c r="BC18" s="20">
        <v>407161</v>
      </c>
      <c r="BD18" s="20">
        <v>404905</v>
      </c>
      <c r="BE18" s="21">
        <v>414791</v>
      </c>
      <c r="BF18" s="21">
        <v>422908</v>
      </c>
      <c r="BG18" s="21">
        <v>434744</v>
      </c>
      <c r="BH18" s="21">
        <v>480028</v>
      </c>
      <c r="BI18" s="22">
        <v>481991.18799999997</v>
      </c>
      <c r="BJ18" s="21">
        <v>441841.06000000006</v>
      </c>
      <c r="BK18" s="21">
        <v>477025.223</v>
      </c>
      <c r="BL18" s="21">
        <v>468473.67700000003</v>
      </c>
      <c r="BM18" s="23">
        <v>475257.91200000001</v>
      </c>
      <c r="BN18" s="23">
        <v>487991</v>
      </c>
      <c r="BO18" s="37">
        <v>499389</v>
      </c>
      <c r="BP18" s="37">
        <v>514386</v>
      </c>
      <c r="BQ18" s="40">
        <v>467225</v>
      </c>
      <c r="BR18" s="40">
        <v>431490</v>
      </c>
      <c r="BS18" s="50">
        <v>479360</v>
      </c>
      <c r="BT18" s="50">
        <v>502670</v>
      </c>
      <c r="BU18" s="50">
        <v>510307</v>
      </c>
      <c r="BV18" s="50">
        <v>527436</v>
      </c>
    </row>
    <row r="19" spans="1:74" ht="8.9" customHeight="1">
      <c r="A19" s="16" t="s">
        <v>17</v>
      </c>
      <c r="B19" s="17">
        <v>2788</v>
      </c>
      <c r="C19" s="17">
        <v>3136</v>
      </c>
      <c r="D19" s="17">
        <v>3728</v>
      </c>
      <c r="E19" s="17">
        <v>4970</v>
      </c>
      <c r="F19" s="17">
        <v>6438</v>
      </c>
      <c r="G19" s="17">
        <v>7303</v>
      </c>
      <c r="H19" s="17">
        <v>9062</v>
      </c>
      <c r="I19" s="17">
        <v>12237</v>
      </c>
      <c r="J19" s="17">
        <v>20674</v>
      </c>
      <c r="K19" s="17">
        <v>26504</v>
      </c>
      <c r="L19" s="17">
        <v>34512</v>
      </c>
      <c r="M19" s="17">
        <v>34944</v>
      </c>
      <c r="N19" s="17">
        <v>36898</v>
      </c>
      <c r="O19" s="17">
        <v>41008</v>
      </c>
      <c r="P19" s="17">
        <v>43047</v>
      </c>
      <c r="Q19" s="17">
        <v>52624</v>
      </c>
      <c r="R19" s="17">
        <v>58680</v>
      </c>
      <c r="S19" s="17">
        <v>72101</v>
      </c>
      <c r="T19" s="17">
        <v>78722</v>
      </c>
      <c r="U19" s="17">
        <v>90883</v>
      </c>
      <c r="V19" s="17">
        <v>101651</v>
      </c>
      <c r="W19" s="17">
        <v>110540</v>
      </c>
      <c r="X19" s="17">
        <v>127323</v>
      </c>
      <c r="Y19" s="17">
        <v>147870</v>
      </c>
      <c r="Z19" s="17">
        <v>176900</v>
      </c>
      <c r="AA19" s="17">
        <v>155402</v>
      </c>
      <c r="AB19" s="17">
        <v>153640</v>
      </c>
      <c r="AC19" s="17">
        <v>173902</v>
      </c>
      <c r="AD19" s="17">
        <v>193591</v>
      </c>
      <c r="AE19" s="17">
        <v>217059</v>
      </c>
      <c r="AF19" s="17">
        <v>226750</v>
      </c>
      <c r="AG19" s="17">
        <v>247928</v>
      </c>
      <c r="AH19" s="17">
        <v>275010</v>
      </c>
      <c r="AI19" s="17">
        <v>282388</v>
      </c>
      <c r="AJ19" s="17">
        <v>312399</v>
      </c>
      <c r="AK19" s="17">
        <v>338029</v>
      </c>
      <c r="AL19" s="17">
        <v>330201</v>
      </c>
      <c r="AM19" s="17">
        <v>369586</v>
      </c>
      <c r="AN19" s="17">
        <v>393722</v>
      </c>
      <c r="AO19" s="17">
        <v>498526</v>
      </c>
      <c r="AP19" s="17">
        <v>515437</v>
      </c>
      <c r="AQ19" s="17">
        <v>489652</v>
      </c>
      <c r="AR19" s="18">
        <v>418777</v>
      </c>
      <c r="AS19" s="19">
        <v>539012</v>
      </c>
      <c r="AT19" s="19">
        <v>625068</v>
      </c>
      <c r="AU19" s="20">
        <v>590579</v>
      </c>
      <c r="AV19" s="20">
        <v>582114</v>
      </c>
      <c r="AW19" s="19">
        <v>598537</v>
      </c>
      <c r="AX19" s="19">
        <v>684634</v>
      </c>
      <c r="AY19" s="20">
        <v>707204</v>
      </c>
      <c r="AZ19" s="20">
        <v>703740</v>
      </c>
      <c r="BA19" s="20">
        <v>829597</v>
      </c>
      <c r="BB19" s="20">
        <v>814484</v>
      </c>
      <c r="BC19" s="20">
        <v>913880</v>
      </c>
      <c r="BD19" s="20">
        <v>789531</v>
      </c>
      <c r="BE19" s="21">
        <v>857083</v>
      </c>
      <c r="BF19" s="21">
        <v>867249</v>
      </c>
      <c r="BG19" s="21">
        <v>888901</v>
      </c>
      <c r="BH19" s="21">
        <v>876018</v>
      </c>
      <c r="BI19" s="22">
        <v>822183.20600000012</v>
      </c>
      <c r="BJ19" s="21">
        <v>743716.71199999994</v>
      </c>
      <c r="BK19" s="21">
        <v>785917.92299999995</v>
      </c>
      <c r="BL19" s="21">
        <v>773103.66500000004</v>
      </c>
      <c r="BM19" s="23">
        <v>767627.71700000006</v>
      </c>
      <c r="BN19" s="23">
        <v>741938</v>
      </c>
      <c r="BO19" s="37">
        <v>801861</v>
      </c>
      <c r="BP19" s="37">
        <v>772483</v>
      </c>
      <c r="BQ19" s="40">
        <v>779917</v>
      </c>
      <c r="BR19" s="40">
        <v>808897</v>
      </c>
      <c r="BS19" s="51">
        <v>825713</v>
      </c>
      <c r="BT19" s="51">
        <v>811703</v>
      </c>
      <c r="BU19" s="51">
        <v>780516</v>
      </c>
      <c r="BV19" s="51">
        <v>859033</v>
      </c>
    </row>
    <row r="20" spans="1:74" ht="8.9" customHeight="1">
      <c r="A20" s="16" t="s">
        <v>18</v>
      </c>
      <c r="B20" s="17">
        <v>2932</v>
      </c>
      <c r="C20" s="17">
        <v>3977</v>
      </c>
      <c r="D20" s="17">
        <v>5714</v>
      </c>
      <c r="E20" s="17">
        <v>7887</v>
      </c>
      <c r="F20" s="17">
        <v>9005</v>
      </c>
      <c r="G20" s="17">
        <v>10116</v>
      </c>
      <c r="H20" s="17">
        <v>12856</v>
      </c>
      <c r="I20" s="17">
        <v>15379</v>
      </c>
      <c r="J20" s="17">
        <v>18182</v>
      </c>
      <c r="K20" s="17">
        <v>22079</v>
      </c>
      <c r="L20" s="17">
        <v>27261</v>
      </c>
      <c r="M20" s="17">
        <v>29757</v>
      </c>
      <c r="N20" s="17">
        <v>34677</v>
      </c>
      <c r="O20" s="17">
        <v>39911</v>
      </c>
      <c r="P20" s="17">
        <v>44790</v>
      </c>
      <c r="Q20" s="17">
        <v>52078</v>
      </c>
      <c r="R20" s="17">
        <v>62813</v>
      </c>
      <c r="S20" s="17">
        <v>71208</v>
      </c>
      <c r="T20" s="17">
        <v>76387</v>
      </c>
      <c r="U20" s="17">
        <v>86277</v>
      </c>
      <c r="V20" s="17">
        <v>91849</v>
      </c>
      <c r="W20" s="17">
        <v>99184</v>
      </c>
      <c r="X20" s="17">
        <v>113648</v>
      </c>
      <c r="Y20" s="17">
        <v>132774</v>
      </c>
      <c r="Z20" s="17">
        <v>152676</v>
      </c>
      <c r="AA20" s="17">
        <v>164370</v>
      </c>
      <c r="AB20" s="17">
        <v>167273</v>
      </c>
      <c r="AC20" s="17">
        <v>193291</v>
      </c>
      <c r="AD20" s="17">
        <v>219033</v>
      </c>
      <c r="AE20" s="17">
        <v>252739</v>
      </c>
      <c r="AF20" s="17">
        <v>280689</v>
      </c>
      <c r="AG20" s="17">
        <v>288967</v>
      </c>
      <c r="AH20" s="17">
        <v>308688</v>
      </c>
      <c r="AI20" s="17">
        <v>321713</v>
      </c>
      <c r="AJ20" s="17">
        <v>343303</v>
      </c>
      <c r="AK20" s="17">
        <v>369346</v>
      </c>
      <c r="AL20" s="17">
        <v>332775</v>
      </c>
      <c r="AM20" s="17">
        <v>359601</v>
      </c>
      <c r="AN20" s="17">
        <v>346680</v>
      </c>
      <c r="AO20" s="17">
        <v>374597</v>
      </c>
      <c r="AP20" s="17">
        <v>374845</v>
      </c>
      <c r="AQ20" s="17">
        <v>374598</v>
      </c>
      <c r="AR20" s="18">
        <v>370942</v>
      </c>
      <c r="AS20" s="19">
        <v>351535</v>
      </c>
      <c r="AT20" s="19">
        <v>409664</v>
      </c>
      <c r="AU20" s="20">
        <v>446748</v>
      </c>
      <c r="AV20" s="20">
        <v>484935</v>
      </c>
      <c r="AW20" s="19">
        <v>511637</v>
      </c>
      <c r="AX20" s="19">
        <v>528757</v>
      </c>
      <c r="AY20" s="20">
        <v>544456</v>
      </c>
      <c r="AZ20" s="20">
        <v>588447</v>
      </c>
      <c r="BA20" s="20">
        <v>582165</v>
      </c>
      <c r="BB20" s="20">
        <v>602201</v>
      </c>
      <c r="BC20" s="20">
        <v>588479</v>
      </c>
      <c r="BD20" s="20">
        <v>638509</v>
      </c>
      <c r="BE20" s="21">
        <v>662270</v>
      </c>
      <c r="BF20" s="21">
        <v>689064</v>
      </c>
      <c r="BG20" s="21">
        <v>784876</v>
      </c>
      <c r="BH20" s="21">
        <v>707188</v>
      </c>
      <c r="BI20" s="22">
        <v>698584.86699999997</v>
      </c>
      <c r="BJ20" s="21">
        <v>700163.87699999998</v>
      </c>
      <c r="BK20" s="21">
        <v>738515.99399999995</v>
      </c>
      <c r="BL20" s="21">
        <v>756451.16299999994</v>
      </c>
      <c r="BM20" s="23">
        <v>675030.23800000001</v>
      </c>
      <c r="BN20" s="23">
        <v>680070</v>
      </c>
      <c r="BO20" s="37">
        <v>674816</v>
      </c>
      <c r="BP20" s="37">
        <v>726422</v>
      </c>
      <c r="BQ20" s="40">
        <v>696992</v>
      </c>
      <c r="BR20" s="40">
        <v>690730</v>
      </c>
      <c r="BS20" s="51">
        <v>668177</v>
      </c>
      <c r="BT20" s="51">
        <v>757322</v>
      </c>
      <c r="BU20" s="51">
        <v>674077</v>
      </c>
      <c r="BV20" s="51">
        <v>784823</v>
      </c>
    </row>
    <row r="21" spans="1:74" ht="8.9" customHeight="1">
      <c r="A21" s="16" t="s">
        <v>19</v>
      </c>
      <c r="B21" s="17">
        <v>462</v>
      </c>
      <c r="C21" s="17">
        <v>873</v>
      </c>
      <c r="D21" s="17">
        <v>1611</v>
      </c>
      <c r="E21" s="17">
        <v>2206</v>
      </c>
      <c r="F21" s="17">
        <v>2751</v>
      </c>
      <c r="G21" s="17">
        <v>2686</v>
      </c>
      <c r="H21" s="17">
        <v>3529</v>
      </c>
      <c r="I21" s="17">
        <v>3959</v>
      </c>
      <c r="J21" s="17">
        <v>3612</v>
      </c>
      <c r="K21" s="17">
        <v>4282</v>
      </c>
      <c r="L21" s="17">
        <v>5384</v>
      </c>
      <c r="M21" s="17">
        <v>6142</v>
      </c>
      <c r="N21" s="17">
        <v>7727</v>
      </c>
      <c r="O21" s="17">
        <v>8975</v>
      </c>
      <c r="P21" s="17">
        <v>11148</v>
      </c>
      <c r="Q21" s="17">
        <v>13839</v>
      </c>
      <c r="R21" s="17">
        <v>14070</v>
      </c>
      <c r="S21" s="17">
        <v>17869</v>
      </c>
      <c r="T21" s="17">
        <v>19899</v>
      </c>
      <c r="U21" s="17">
        <v>21839</v>
      </c>
      <c r="V21" s="17">
        <v>24072</v>
      </c>
      <c r="W21" s="17">
        <v>27807</v>
      </c>
      <c r="X21" s="17">
        <v>30969</v>
      </c>
      <c r="Y21" s="17">
        <v>36339</v>
      </c>
      <c r="Z21" s="17">
        <v>41503</v>
      </c>
      <c r="AA21" s="17">
        <v>42723</v>
      </c>
      <c r="AB21" s="17">
        <v>42673</v>
      </c>
      <c r="AC21" s="17">
        <v>44959</v>
      </c>
      <c r="AD21" s="17">
        <v>51045</v>
      </c>
      <c r="AE21" s="17">
        <v>55442</v>
      </c>
      <c r="AF21" s="17">
        <v>56626</v>
      </c>
      <c r="AG21" s="17">
        <v>57474</v>
      </c>
      <c r="AH21" s="17">
        <v>58975</v>
      </c>
      <c r="AI21" s="17">
        <v>67394</v>
      </c>
      <c r="AJ21" s="17">
        <v>81094</v>
      </c>
      <c r="AK21" s="17">
        <v>113124</v>
      </c>
      <c r="AL21" s="17">
        <v>118282</v>
      </c>
      <c r="AM21" s="17">
        <v>131706</v>
      </c>
      <c r="AN21" s="17">
        <v>145528</v>
      </c>
      <c r="AO21" s="17">
        <v>116621</v>
      </c>
      <c r="AP21" s="17">
        <v>123581</v>
      </c>
      <c r="AQ21" s="17">
        <v>111379</v>
      </c>
      <c r="AR21" s="18">
        <v>106743</v>
      </c>
      <c r="AS21" s="19">
        <v>114339</v>
      </c>
      <c r="AT21" s="19">
        <v>115512</v>
      </c>
      <c r="AU21" s="20">
        <v>129520</v>
      </c>
      <c r="AV21" s="20">
        <v>130722</v>
      </c>
      <c r="AW21" s="19">
        <v>136197</v>
      </c>
      <c r="AX21" s="19">
        <v>139279</v>
      </c>
      <c r="AY21" s="20">
        <v>136070</v>
      </c>
      <c r="AZ21" s="20">
        <v>149471</v>
      </c>
      <c r="BA21" s="20">
        <v>166196</v>
      </c>
      <c r="BB21" s="20">
        <v>157976</v>
      </c>
      <c r="BC21" s="20">
        <v>168390</v>
      </c>
      <c r="BD21" s="20">
        <v>202838</v>
      </c>
      <c r="BE21" s="21">
        <v>175355</v>
      </c>
      <c r="BF21" s="21">
        <v>186359</v>
      </c>
      <c r="BG21" s="21">
        <v>188426</v>
      </c>
      <c r="BH21" s="21">
        <v>190990</v>
      </c>
      <c r="BI21" s="22">
        <v>192054.633</v>
      </c>
      <c r="BJ21" s="21">
        <v>198393.97999999995</v>
      </c>
      <c r="BK21" s="21">
        <v>186101.16199999998</v>
      </c>
      <c r="BL21" s="21">
        <v>190107.53300000002</v>
      </c>
      <c r="BM21" s="23">
        <v>189575.37700000001</v>
      </c>
      <c r="BN21" s="23">
        <v>201273</v>
      </c>
      <c r="BO21" s="37">
        <v>180943</v>
      </c>
      <c r="BP21" s="37">
        <v>192416</v>
      </c>
      <c r="BQ21" s="40">
        <v>193452</v>
      </c>
      <c r="BR21" s="40">
        <v>238750</v>
      </c>
      <c r="BS21" s="52">
        <v>180116</v>
      </c>
      <c r="BT21" s="52">
        <v>180116</v>
      </c>
      <c r="BU21" s="52">
        <v>180304</v>
      </c>
      <c r="BV21" s="52">
        <v>172459</v>
      </c>
    </row>
    <row r="22" spans="1:74" ht="8.9" customHeight="1">
      <c r="A22" s="8" t="s">
        <v>20</v>
      </c>
      <c r="B22" s="9">
        <v>5446</v>
      </c>
      <c r="C22" s="9">
        <v>4919</v>
      </c>
      <c r="D22" s="9">
        <v>5806</v>
      </c>
      <c r="E22" s="9">
        <v>6542</v>
      </c>
      <c r="F22" s="9">
        <v>7802</v>
      </c>
      <c r="G22" s="9">
        <v>8505</v>
      </c>
      <c r="H22" s="9">
        <v>10065</v>
      </c>
      <c r="I22" s="9">
        <v>14263</v>
      </c>
      <c r="J22" s="9">
        <v>18953</v>
      </c>
      <c r="K22" s="9">
        <v>22788</v>
      </c>
      <c r="L22" s="9">
        <v>25690</v>
      </c>
      <c r="M22" s="9">
        <v>31142</v>
      </c>
      <c r="N22" s="9">
        <v>39147</v>
      </c>
      <c r="O22" s="9">
        <v>40538</v>
      </c>
      <c r="P22" s="9">
        <v>44208</v>
      </c>
      <c r="Q22" s="9">
        <v>51008</v>
      </c>
      <c r="R22" s="9">
        <v>58122</v>
      </c>
      <c r="S22" s="9">
        <v>62221</v>
      </c>
      <c r="T22" s="9">
        <v>67582</v>
      </c>
      <c r="U22" s="9">
        <v>74192</v>
      </c>
      <c r="V22" s="9">
        <v>81982</v>
      </c>
      <c r="W22" s="9">
        <v>87475</v>
      </c>
      <c r="X22" s="9">
        <v>93861</v>
      </c>
      <c r="Y22" s="9">
        <v>104749</v>
      </c>
      <c r="Z22" s="9">
        <v>117005</v>
      </c>
      <c r="AA22" s="9">
        <v>125897</v>
      </c>
      <c r="AB22" s="9">
        <v>122246</v>
      </c>
      <c r="AC22" s="9">
        <v>121024</v>
      </c>
      <c r="AD22" s="9">
        <v>127317</v>
      </c>
      <c r="AE22" s="9">
        <v>136484</v>
      </c>
      <c r="AF22" s="9">
        <v>151770</v>
      </c>
      <c r="AG22" s="9">
        <v>165740</v>
      </c>
      <c r="AH22" s="9">
        <v>203773</v>
      </c>
      <c r="AI22" s="9">
        <v>199682</v>
      </c>
      <c r="AJ22" s="9">
        <v>225130</v>
      </c>
      <c r="AK22" s="9">
        <v>244989</v>
      </c>
      <c r="AL22" s="9">
        <v>273706</v>
      </c>
      <c r="AM22" s="9">
        <v>305721</v>
      </c>
      <c r="AN22" s="9">
        <v>318963</v>
      </c>
      <c r="AO22" s="9">
        <v>329885</v>
      </c>
      <c r="AP22" s="9">
        <v>355308</v>
      </c>
      <c r="AQ22" s="9">
        <v>354729</v>
      </c>
      <c r="AR22" s="10">
        <v>331002</v>
      </c>
      <c r="AS22" s="11">
        <v>345063</v>
      </c>
      <c r="AT22" s="11">
        <v>343339</v>
      </c>
      <c r="AU22" s="12">
        <v>310950</v>
      </c>
      <c r="AV22" s="12">
        <v>325971</v>
      </c>
      <c r="AW22" s="11">
        <v>357665</v>
      </c>
      <c r="AX22" s="11">
        <v>418054</v>
      </c>
      <c r="AY22" s="12">
        <v>427949</v>
      </c>
      <c r="AZ22" s="12">
        <v>488744</v>
      </c>
      <c r="BA22" s="12">
        <v>501242</v>
      </c>
      <c r="BB22" s="12">
        <v>501821</v>
      </c>
      <c r="BC22" s="12">
        <v>504070</v>
      </c>
      <c r="BD22" s="12">
        <v>511916</v>
      </c>
      <c r="BE22" s="13">
        <v>541091</v>
      </c>
      <c r="BF22" s="13">
        <v>565728</v>
      </c>
      <c r="BG22" s="13">
        <v>562925</v>
      </c>
      <c r="BH22" s="13">
        <v>576988</v>
      </c>
      <c r="BI22" s="14">
        <v>535014.93400000012</v>
      </c>
      <c r="BJ22" s="13">
        <v>519838.09200000006</v>
      </c>
      <c r="BK22" s="13">
        <v>524617.14800000004</v>
      </c>
      <c r="BL22" s="13">
        <v>507017.74</v>
      </c>
      <c r="BM22" s="15">
        <v>509605.39699999994</v>
      </c>
      <c r="BN22" s="15">
        <v>487783</v>
      </c>
      <c r="BO22" s="36">
        <v>520116</v>
      </c>
      <c r="BP22" s="36">
        <v>536130</v>
      </c>
      <c r="BQ22" s="39">
        <v>536726</v>
      </c>
      <c r="BR22" s="39">
        <v>532306</v>
      </c>
      <c r="BS22" s="50">
        <v>522623</v>
      </c>
      <c r="BT22" s="50">
        <v>550738</v>
      </c>
      <c r="BU22" s="50">
        <v>503355</v>
      </c>
      <c r="BV22" s="50">
        <v>551576</v>
      </c>
    </row>
    <row r="23" spans="1:74" ht="8.9" customHeight="1">
      <c r="A23" s="16" t="s">
        <v>84</v>
      </c>
      <c r="B23" s="17">
        <v>2112</v>
      </c>
      <c r="C23" s="17">
        <v>3778</v>
      </c>
      <c r="D23" s="17">
        <v>6608</v>
      </c>
      <c r="E23" s="17">
        <v>7796</v>
      </c>
      <c r="F23" s="17">
        <v>9388</v>
      </c>
      <c r="G23" s="17">
        <v>9308</v>
      </c>
      <c r="H23" s="17">
        <v>11769</v>
      </c>
      <c r="I23" s="17">
        <v>14373</v>
      </c>
      <c r="J23" s="17">
        <v>18978</v>
      </c>
      <c r="K23" s="17">
        <v>18859</v>
      </c>
      <c r="L23" s="17">
        <v>23871</v>
      </c>
      <c r="M23" s="17">
        <v>30181</v>
      </c>
      <c r="N23" s="17">
        <v>36989</v>
      </c>
      <c r="O23" s="17">
        <v>45479</v>
      </c>
      <c r="P23" s="17">
        <v>49765</v>
      </c>
      <c r="Q23" s="17">
        <v>59742</v>
      </c>
      <c r="R23" s="17">
        <v>66232</v>
      </c>
      <c r="S23" s="17">
        <v>73780</v>
      </c>
      <c r="T23" s="17">
        <v>80436</v>
      </c>
      <c r="U23" s="17">
        <v>89859</v>
      </c>
      <c r="V23" s="17">
        <v>98808</v>
      </c>
      <c r="W23" s="17">
        <v>102575</v>
      </c>
      <c r="X23" s="17">
        <v>110785</v>
      </c>
      <c r="Y23" s="17">
        <v>115070</v>
      </c>
      <c r="Z23" s="17">
        <v>131199</v>
      </c>
      <c r="AA23" s="17">
        <v>134353</v>
      </c>
      <c r="AB23" s="17">
        <v>133119</v>
      </c>
      <c r="AC23" s="17">
        <v>135146</v>
      </c>
      <c r="AD23" s="17">
        <v>134522</v>
      </c>
      <c r="AE23" s="17">
        <v>159622</v>
      </c>
      <c r="AF23" s="17">
        <v>181235</v>
      </c>
      <c r="AG23" s="17">
        <v>185113</v>
      </c>
      <c r="AH23" s="17">
        <v>190367</v>
      </c>
      <c r="AI23" s="17">
        <v>190487</v>
      </c>
      <c r="AJ23" s="17">
        <v>224109</v>
      </c>
      <c r="AK23" s="17">
        <v>245691</v>
      </c>
      <c r="AL23" s="17">
        <v>246140</v>
      </c>
      <c r="AM23" s="17">
        <v>268408</v>
      </c>
      <c r="AN23" s="17">
        <v>284132</v>
      </c>
      <c r="AO23" s="17">
        <v>294132</v>
      </c>
      <c r="AP23" s="17">
        <v>290583</v>
      </c>
      <c r="AQ23" s="17">
        <v>267438</v>
      </c>
      <c r="AR23" s="18">
        <v>246781</v>
      </c>
      <c r="AS23" s="19">
        <v>254322</v>
      </c>
      <c r="AT23" s="19">
        <v>271406</v>
      </c>
      <c r="AU23" s="20">
        <v>297749</v>
      </c>
      <c r="AV23" s="20">
        <v>317000</v>
      </c>
      <c r="AW23" s="19">
        <v>315829</v>
      </c>
      <c r="AX23" s="19">
        <v>345363</v>
      </c>
      <c r="AY23" s="20">
        <v>358198</v>
      </c>
      <c r="AZ23" s="20">
        <v>378060</v>
      </c>
      <c r="BA23" s="20">
        <v>408092</v>
      </c>
      <c r="BB23" s="20">
        <v>401507</v>
      </c>
      <c r="BC23" s="20">
        <v>398721</v>
      </c>
      <c r="BD23" s="20">
        <v>414409</v>
      </c>
      <c r="BE23" s="21">
        <v>425034</v>
      </c>
      <c r="BF23" s="21">
        <v>422653</v>
      </c>
      <c r="BG23" s="21">
        <v>396090</v>
      </c>
      <c r="BH23" s="21">
        <v>405019</v>
      </c>
      <c r="BI23" s="22">
        <v>380899.14200000005</v>
      </c>
      <c r="BJ23" s="21">
        <v>403082.33500000002</v>
      </c>
      <c r="BK23" s="21">
        <v>398474.32500000001</v>
      </c>
      <c r="BL23" s="21">
        <v>414607.24400000006</v>
      </c>
      <c r="BM23" s="23">
        <v>423269.14699999994</v>
      </c>
      <c r="BN23" s="23">
        <v>503686</v>
      </c>
      <c r="BO23" s="37">
        <v>417000</v>
      </c>
      <c r="BP23" s="37">
        <v>442132</v>
      </c>
      <c r="BQ23" s="40">
        <v>451241</v>
      </c>
      <c r="BR23" s="40">
        <v>438001</v>
      </c>
      <c r="BS23" s="51">
        <v>438727</v>
      </c>
      <c r="BT23" s="51">
        <v>452669</v>
      </c>
      <c r="BU23" s="51">
        <v>399488</v>
      </c>
      <c r="BV23" s="51">
        <v>447902</v>
      </c>
    </row>
    <row r="24" spans="1:74" ht="8.9" customHeight="1">
      <c r="A24" s="16" t="s">
        <v>21</v>
      </c>
      <c r="B24" s="17">
        <v>8105</v>
      </c>
      <c r="C24" s="17">
        <v>9419</v>
      </c>
      <c r="D24" s="17">
        <v>12387</v>
      </c>
      <c r="E24" s="17">
        <v>12284</v>
      </c>
      <c r="F24" s="17">
        <v>16863</v>
      </c>
      <c r="G24" s="17">
        <v>17866</v>
      </c>
      <c r="H24" s="17">
        <v>20376</v>
      </c>
      <c r="I24" s="17">
        <v>23298</v>
      </c>
      <c r="J24" s="17">
        <v>26236</v>
      </c>
      <c r="K24" s="17">
        <v>25995</v>
      </c>
      <c r="L24" s="17">
        <v>38998</v>
      </c>
      <c r="M24" s="17">
        <v>47221</v>
      </c>
      <c r="N24" s="17">
        <v>52503</v>
      </c>
      <c r="O24" s="17">
        <v>61930</v>
      </c>
      <c r="P24" s="17">
        <v>75660</v>
      </c>
      <c r="Q24" s="17">
        <v>90269</v>
      </c>
      <c r="R24" s="17">
        <v>111458</v>
      </c>
      <c r="S24" s="17">
        <v>130393</v>
      </c>
      <c r="T24" s="17">
        <v>143071</v>
      </c>
      <c r="U24" s="17">
        <v>163692</v>
      </c>
      <c r="V24" s="17">
        <v>187783</v>
      </c>
      <c r="W24" s="17">
        <v>189436</v>
      </c>
      <c r="X24" s="17">
        <v>218605</v>
      </c>
      <c r="Y24" s="17">
        <v>249132</v>
      </c>
      <c r="Z24" s="17">
        <v>286289</v>
      </c>
      <c r="AA24" s="17">
        <v>275523</v>
      </c>
      <c r="AB24" s="17">
        <v>263531</v>
      </c>
      <c r="AC24" s="17">
        <v>302853</v>
      </c>
      <c r="AD24" s="17">
        <v>337532</v>
      </c>
      <c r="AE24" s="17">
        <v>367361</v>
      </c>
      <c r="AF24" s="17">
        <v>360353</v>
      </c>
      <c r="AG24" s="17">
        <v>304285</v>
      </c>
      <c r="AH24" s="17">
        <v>349459</v>
      </c>
      <c r="AI24" s="17">
        <v>363223</v>
      </c>
      <c r="AJ24" s="17">
        <v>395969</v>
      </c>
      <c r="AK24" s="17">
        <v>434834</v>
      </c>
      <c r="AL24" s="17">
        <v>462866</v>
      </c>
      <c r="AM24" s="17">
        <v>485499</v>
      </c>
      <c r="AN24" s="17">
        <v>518342</v>
      </c>
      <c r="AO24" s="17">
        <v>532808</v>
      </c>
      <c r="AP24" s="17">
        <v>535470</v>
      </c>
      <c r="AQ24" s="17">
        <v>534548</v>
      </c>
      <c r="AR24" s="18">
        <v>538195</v>
      </c>
      <c r="AS24" s="19">
        <v>570147</v>
      </c>
      <c r="AT24" s="19">
        <v>724338</v>
      </c>
      <c r="AU24" s="20">
        <v>731522</v>
      </c>
      <c r="AV24" s="20">
        <v>742668</v>
      </c>
      <c r="AW24" s="19">
        <v>778437</v>
      </c>
      <c r="AX24" s="19">
        <v>816936</v>
      </c>
      <c r="AY24" s="20">
        <v>871396</v>
      </c>
      <c r="AZ24" s="20">
        <v>911306</v>
      </c>
      <c r="BA24" s="20">
        <v>917188</v>
      </c>
      <c r="BB24" s="20">
        <v>904696</v>
      </c>
      <c r="BC24" s="20">
        <v>944140</v>
      </c>
      <c r="BD24" s="20">
        <v>945696</v>
      </c>
      <c r="BE24" s="21">
        <v>978991</v>
      </c>
      <c r="BF24" s="21">
        <v>948961</v>
      </c>
      <c r="BG24" s="21">
        <v>932524</v>
      </c>
      <c r="BH24" s="21">
        <v>908978</v>
      </c>
      <c r="BI24" s="22">
        <v>841733.60299999989</v>
      </c>
      <c r="BJ24" s="21">
        <v>783591.93700000015</v>
      </c>
      <c r="BK24" s="21">
        <v>821625.77100000007</v>
      </c>
      <c r="BL24" s="21">
        <v>822930.77100000007</v>
      </c>
      <c r="BM24" s="23">
        <v>840560.45600000001</v>
      </c>
      <c r="BN24" s="23">
        <v>910769</v>
      </c>
      <c r="BO24" s="37">
        <v>926313</v>
      </c>
      <c r="BP24" s="37">
        <v>955376</v>
      </c>
      <c r="BQ24" s="40">
        <v>983664</v>
      </c>
      <c r="BR24" s="40">
        <v>931965</v>
      </c>
      <c r="BS24" s="51">
        <v>1037517</v>
      </c>
      <c r="BT24" s="51">
        <v>969508</v>
      </c>
      <c r="BU24" s="51">
        <v>909795</v>
      </c>
      <c r="BV24" s="51">
        <v>967556</v>
      </c>
    </row>
    <row r="25" spans="1:74" ht="8.9" customHeight="1">
      <c r="A25" s="26" t="s">
        <v>22</v>
      </c>
      <c r="B25" s="27">
        <v>4319</v>
      </c>
      <c r="C25" s="27">
        <v>5664</v>
      </c>
      <c r="D25" s="27">
        <v>6090</v>
      </c>
      <c r="E25" s="27">
        <v>8269</v>
      </c>
      <c r="F25" s="27">
        <v>11896</v>
      </c>
      <c r="G25" s="27">
        <v>15460</v>
      </c>
      <c r="H25" s="27">
        <v>18444</v>
      </c>
      <c r="I25" s="27">
        <v>21422</v>
      </c>
      <c r="J25" s="27">
        <v>26093</v>
      </c>
      <c r="K25" s="27">
        <v>29622</v>
      </c>
      <c r="L25" s="27">
        <v>36547</v>
      </c>
      <c r="M25" s="27">
        <v>46031</v>
      </c>
      <c r="N25" s="27">
        <v>63655</v>
      </c>
      <c r="O25" s="27">
        <v>46712</v>
      </c>
      <c r="P25" s="27">
        <v>54878</v>
      </c>
      <c r="Q25" s="27">
        <v>60795</v>
      </c>
      <c r="R25" s="27">
        <v>69528</v>
      </c>
      <c r="S25" s="27">
        <v>81952</v>
      </c>
      <c r="T25" s="27">
        <v>92412</v>
      </c>
      <c r="U25" s="27">
        <v>104598</v>
      </c>
      <c r="V25" s="27">
        <v>114288</v>
      </c>
      <c r="W25" s="27">
        <v>124075</v>
      </c>
      <c r="X25" s="27">
        <v>143426</v>
      </c>
      <c r="Y25" s="27">
        <v>152771</v>
      </c>
      <c r="Z25" s="27">
        <v>188413</v>
      </c>
      <c r="AA25" s="27">
        <v>183353</v>
      </c>
      <c r="AB25" s="27">
        <v>185849</v>
      </c>
      <c r="AC25" s="27">
        <v>204990</v>
      </c>
      <c r="AD25" s="27">
        <v>215969</v>
      </c>
      <c r="AE25" s="27">
        <v>252726</v>
      </c>
      <c r="AF25" s="27">
        <v>295368</v>
      </c>
      <c r="AG25" s="27">
        <v>252877</v>
      </c>
      <c r="AH25" s="27">
        <v>256789</v>
      </c>
      <c r="AI25" s="27">
        <v>273153</v>
      </c>
      <c r="AJ25" s="27">
        <v>295462</v>
      </c>
      <c r="AK25" s="27">
        <v>292567</v>
      </c>
      <c r="AL25" s="27">
        <v>294963</v>
      </c>
      <c r="AM25" s="27">
        <v>294275</v>
      </c>
      <c r="AN25" s="27">
        <v>317188</v>
      </c>
      <c r="AO25" s="27">
        <v>335969</v>
      </c>
      <c r="AP25" s="27">
        <v>335550</v>
      </c>
      <c r="AQ25" s="27">
        <v>327853</v>
      </c>
      <c r="AR25" s="28">
        <v>344277</v>
      </c>
      <c r="AS25" s="29">
        <v>354154</v>
      </c>
      <c r="AT25" s="29">
        <v>374863</v>
      </c>
      <c r="AU25" s="30">
        <v>422126</v>
      </c>
      <c r="AV25" s="30">
        <v>457310</v>
      </c>
      <c r="AW25" s="29">
        <v>485188</v>
      </c>
      <c r="AX25" s="29">
        <v>505032</v>
      </c>
      <c r="AY25" s="30">
        <v>549403</v>
      </c>
      <c r="AZ25" s="30">
        <v>575792</v>
      </c>
      <c r="BA25" s="30">
        <v>638962</v>
      </c>
      <c r="BB25" s="30">
        <v>632363</v>
      </c>
      <c r="BC25" s="30">
        <v>652549</v>
      </c>
      <c r="BD25" s="30">
        <v>645306</v>
      </c>
      <c r="BE25" s="31">
        <v>664466</v>
      </c>
      <c r="BF25" s="31">
        <v>665699</v>
      </c>
      <c r="BG25" s="31">
        <v>675627</v>
      </c>
      <c r="BH25" s="31">
        <v>677757</v>
      </c>
      <c r="BI25" s="32">
        <v>668423.32100000011</v>
      </c>
      <c r="BJ25" s="31">
        <v>598711.05200000003</v>
      </c>
      <c r="BK25" s="31">
        <v>632501.37100000004</v>
      </c>
      <c r="BL25" s="31">
        <v>657754.902</v>
      </c>
      <c r="BM25" s="33">
        <v>690567.49799999991</v>
      </c>
      <c r="BN25" s="33">
        <v>662062</v>
      </c>
      <c r="BO25" s="38">
        <v>673560</v>
      </c>
      <c r="BP25" s="38">
        <v>667656</v>
      </c>
      <c r="BQ25" s="41">
        <v>799162</v>
      </c>
      <c r="BR25" s="41">
        <v>811188</v>
      </c>
      <c r="BS25" s="52">
        <v>848394</v>
      </c>
      <c r="BT25" s="52">
        <v>874736</v>
      </c>
      <c r="BU25" s="52">
        <v>720079</v>
      </c>
      <c r="BV25" s="52">
        <v>762665</v>
      </c>
    </row>
    <row r="26" spans="1:74" ht="8.9" customHeight="1">
      <c r="A26" s="16" t="s">
        <v>23</v>
      </c>
      <c r="B26" s="17">
        <v>3238</v>
      </c>
      <c r="C26" s="17">
        <v>4726</v>
      </c>
      <c r="D26" s="17">
        <v>5977</v>
      </c>
      <c r="E26" s="17">
        <v>7441</v>
      </c>
      <c r="F26" s="17">
        <v>8386</v>
      </c>
      <c r="G26" s="17">
        <v>8621</v>
      </c>
      <c r="H26" s="17">
        <v>10407</v>
      </c>
      <c r="I26" s="17">
        <v>12695</v>
      </c>
      <c r="J26" s="17">
        <v>15247</v>
      </c>
      <c r="K26" s="17">
        <v>19463</v>
      </c>
      <c r="L26" s="17">
        <v>23499</v>
      </c>
      <c r="M26" s="17">
        <v>26255</v>
      </c>
      <c r="N26" s="17">
        <v>30393</v>
      </c>
      <c r="O26" s="17">
        <v>33368</v>
      </c>
      <c r="P26" s="17">
        <v>37283</v>
      </c>
      <c r="Q26" s="17">
        <v>43078</v>
      </c>
      <c r="R26" s="17">
        <v>51980</v>
      </c>
      <c r="S26" s="17">
        <v>64975</v>
      </c>
      <c r="T26" s="17">
        <v>78574</v>
      </c>
      <c r="U26" s="17">
        <v>89689</v>
      </c>
      <c r="V26" s="17">
        <v>106212</v>
      </c>
      <c r="W26" s="17">
        <v>82532</v>
      </c>
      <c r="X26" s="17">
        <v>100956</v>
      </c>
      <c r="Y26" s="17">
        <v>118179</v>
      </c>
      <c r="Z26" s="17">
        <v>135257</v>
      </c>
      <c r="AA26" s="17">
        <v>137754</v>
      </c>
      <c r="AB26" s="17">
        <v>131222</v>
      </c>
      <c r="AC26" s="17">
        <v>149397</v>
      </c>
      <c r="AD26" s="17">
        <v>161772</v>
      </c>
      <c r="AE26" s="17">
        <v>176070</v>
      </c>
      <c r="AF26" s="17">
        <v>184020</v>
      </c>
      <c r="AG26" s="17">
        <v>212544</v>
      </c>
      <c r="AH26" s="17">
        <v>236194</v>
      </c>
      <c r="AI26" s="17">
        <v>235454</v>
      </c>
      <c r="AJ26" s="17">
        <v>248636</v>
      </c>
      <c r="AK26" s="17">
        <v>273399</v>
      </c>
      <c r="AL26" s="17">
        <v>279687</v>
      </c>
      <c r="AM26" s="17">
        <v>284882</v>
      </c>
      <c r="AN26" s="17">
        <v>299858</v>
      </c>
      <c r="AO26" s="17">
        <v>322838</v>
      </c>
      <c r="AP26" s="17">
        <v>321191</v>
      </c>
      <c r="AQ26" s="17">
        <v>328349</v>
      </c>
      <c r="AR26" s="18">
        <v>333768</v>
      </c>
      <c r="AS26" s="19">
        <v>346023</v>
      </c>
      <c r="AT26" s="19">
        <v>349074</v>
      </c>
      <c r="AU26" s="20">
        <v>362185</v>
      </c>
      <c r="AV26" s="20">
        <v>378188</v>
      </c>
      <c r="AW26" s="19">
        <v>403727</v>
      </c>
      <c r="AX26" s="19">
        <v>434751</v>
      </c>
      <c r="AY26" s="20">
        <v>498032</v>
      </c>
      <c r="AZ26" s="20">
        <v>558687</v>
      </c>
      <c r="BA26" s="20">
        <v>515074</v>
      </c>
      <c r="BB26" s="20">
        <v>505680</v>
      </c>
      <c r="BC26" s="20">
        <v>540155</v>
      </c>
      <c r="BD26" s="20">
        <v>593222</v>
      </c>
      <c r="BE26" s="21">
        <v>600066</v>
      </c>
      <c r="BF26" s="21">
        <v>606874</v>
      </c>
      <c r="BG26" s="21">
        <v>643310</v>
      </c>
      <c r="BH26" s="21">
        <v>626360</v>
      </c>
      <c r="BI26" s="22">
        <v>625860.72999999986</v>
      </c>
      <c r="BJ26" s="21">
        <v>554308.57799999998</v>
      </c>
      <c r="BK26" s="21">
        <v>563039.44900000002</v>
      </c>
      <c r="BL26" s="21">
        <v>553167.18599999999</v>
      </c>
      <c r="BM26" s="23">
        <v>578538.17200000002</v>
      </c>
      <c r="BN26" s="23">
        <v>550896</v>
      </c>
      <c r="BO26" s="37">
        <v>573402</v>
      </c>
      <c r="BP26" s="37">
        <v>632987</v>
      </c>
      <c r="BQ26" s="40">
        <v>687994</v>
      </c>
      <c r="BR26" s="40">
        <v>685953</v>
      </c>
      <c r="BS26" s="50">
        <v>707874</v>
      </c>
      <c r="BT26" s="50">
        <v>709977</v>
      </c>
      <c r="BU26" s="50">
        <v>696751</v>
      </c>
      <c r="BV26" s="50">
        <v>733965</v>
      </c>
    </row>
    <row r="27" spans="1:74" ht="8.9" customHeight="1">
      <c r="A27" s="16" t="s">
        <v>24</v>
      </c>
      <c r="B27" s="17">
        <v>10538</v>
      </c>
      <c r="C27" s="17">
        <v>13575</v>
      </c>
      <c r="D27" s="17">
        <v>15698</v>
      </c>
      <c r="E27" s="17">
        <v>17832</v>
      </c>
      <c r="F27" s="17">
        <v>19646</v>
      </c>
      <c r="G27" s="17">
        <v>22891</v>
      </c>
      <c r="H27" s="17">
        <v>26651</v>
      </c>
      <c r="I27" s="17">
        <v>33263</v>
      </c>
      <c r="J27" s="17">
        <v>37623</v>
      </c>
      <c r="K27" s="17">
        <v>44442</v>
      </c>
      <c r="L27" s="17">
        <v>57157</v>
      </c>
      <c r="M27" s="17">
        <v>64605</v>
      </c>
      <c r="N27" s="17">
        <v>72002</v>
      </c>
      <c r="O27" s="17">
        <v>74918</v>
      </c>
      <c r="P27" s="17">
        <v>80173</v>
      </c>
      <c r="Q27" s="17">
        <v>93303</v>
      </c>
      <c r="R27" s="17">
        <v>108002</v>
      </c>
      <c r="S27" s="17">
        <v>132092</v>
      </c>
      <c r="T27" s="17">
        <v>143689</v>
      </c>
      <c r="U27" s="17">
        <v>168757</v>
      </c>
      <c r="V27" s="17">
        <v>183520</v>
      </c>
      <c r="W27" s="17">
        <v>191929</v>
      </c>
      <c r="X27" s="17">
        <v>216463</v>
      </c>
      <c r="Y27" s="17">
        <v>237174</v>
      </c>
      <c r="Z27" s="17">
        <v>279416</v>
      </c>
      <c r="AA27" s="17">
        <v>270430</v>
      </c>
      <c r="AB27" s="17">
        <v>258028</v>
      </c>
      <c r="AC27" s="17">
        <v>289173</v>
      </c>
      <c r="AD27" s="17">
        <v>320191</v>
      </c>
      <c r="AE27" s="17">
        <v>347468</v>
      </c>
      <c r="AF27" s="17">
        <v>368866</v>
      </c>
      <c r="AG27" s="17">
        <v>359091</v>
      </c>
      <c r="AH27" s="17">
        <v>382981</v>
      </c>
      <c r="AI27" s="17">
        <v>387875</v>
      </c>
      <c r="AJ27" s="17">
        <v>399805</v>
      </c>
      <c r="AK27" s="17">
        <v>450337</v>
      </c>
      <c r="AL27" s="17">
        <v>457228</v>
      </c>
      <c r="AM27" s="17">
        <v>482367</v>
      </c>
      <c r="AN27" s="17">
        <v>493177</v>
      </c>
      <c r="AO27" s="17">
        <v>542310</v>
      </c>
      <c r="AP27" s="17">
        <v>649276</v>
      </c>
      <c r="AQ27" s="17">
        <v>594302</v>
      </c>
      <c r="AR27" s="18">
        <v>591447</v>
      </c>
      <c r="AS27" s="19">
        <v>651097</v>
      </c>
      <c r="AT27" s="19">
        <v>691149</v>
      </c>
      <c r="AU27" s="20">
        <v>736603</v>
      </c>
      <c r="AV27" s="20">
        <v>743410</v>
      </c>
      <c r="AW27" s="19">
        <v>772248</v>
      </c>
      <c r="AX27" s="19">
        <v>881667</v>
      </c>
      <c r="AY27" s="20">
        <v>939318</v>
      </c>
      <c r="AZ27" s="20">
        <v>866541</v>
      </c>
      <c r="BA27" s="20">
        <v>921162</v>
      </c>
      <c r="BB27" s="20">
        <v>915155</v>
      </c>
      <c r="BC27" s="20">
        <v>951220</v>
      </c>
      <c r="BD27" s="20">
        <v>973107</v>
      </c>
      <c r="BE27" s="21">
        <v>1040893</v>
      </c>
      <c r="BF27" s="21">
        <v>1054039</v>
      </c>
      <c r="BG27" s="21">
        <v>1077474</v>
      </c>
      <c r="BH27" s="21">
        <v>1093652</v>
      </c>
      <c r="BI27" s="22">
        <v>996651.16700000002</v>
      </c>
      <c r="BJ27" s="21">
        <v>953284.64900000009</v>
      </c>
      <c r="BK27" s="21">
        <v>985786.10300000012</v>
      </c>
      <c r="BL27" s="21">
        <v>980843.25600000005</v>
      </c>
      <c r="BM27" s="23">
        <v>968275.46299999999</v>
      </c>
      <c r="BN27" s="23">
        <v>959962</v>
      </c>
      <c r="BO27" s="37">
        <v>1003190</v>
      </c>
      <c r="BP27" s="37">
        <v>1022026</v>
      </c>
      <c r="BQ27" s="40">
        <v>1043171</v>
      </c>
      <c r="BR27" s="40">
        <v>1051422</v>
      </c>
      <c r="BS27" s="51">
        <v>1066093</v>
      </c>
      <c r="BT27" s="51">
        <v>1100304</v>
      </c>
      <c r="BU27" s="51">
        <v>1054726</v>
      </c>
      <c r="BV27" s="51">
        <v>1093299</v>
      </c>
    </row>
    <row r="28" spans="1:74" ht="8.9" customHeight="1">
      <c r="A28" s="16" t="s">
        <v>25</v>
      </c>
      <c r="B28" s="17">
        <v>5107</v>
      </c>
      <c r="C28" s="17">
        <v>7593</v>
      </c>
      <c r="D28" s="17">
        <v>9708</v>
      </c>
      <c r="E28" s="17">
        <v>12385</v>
      </c>
      <c r="F28" s="17">
        <v>14172</v>
      </c>
      <c r="G28" s="17">
        <v>16990</v>
      </c>
      <c r="H28" s="17">
        <v>17323</v>
      </c>
      <c r="I28" s="17">
        <v>17662</v>
      </c>
      <c r="J28" s="17">
        <v>19969</v>
      </c>
      <c r="K28" s="17">
        <v>21547</v>
      </c>
      <c r="L28" s="17">
        <v>26313</v>
      </c>
      <c r="M28" s="17">
        <v>27216</v>
      </c>
      <c r="N28" s="17">
        <v>31255</v>
      </c>
      <c r="O28" s="17">
        <v>30311</v>
      </c>
      <c r="P28" s="17">
        <v>33447</v>
      </c>
      <c r="Q28" s="17">
        <v>35294</v>
      </c>
      <c r="R28" s="17">
        <v>38879</v>
      </c>
      <c r="S28" s="17">
        <v>43253</v>
      </c>
      <c r="T28" s="17">
        <v>40668</v>
      </c>
      <c r="U28" s="17">
        <v>45756</v>
      </c>
      <c r="V28" s="17">
        <v>49868</v>
      </c>
      <c r="W28" s="17">
        <v>58136</v>
      </c>
      <c r="X28" s="17">
        <v>61295</v>
      </c>
      <c r="Y28" s="17">
        <v>69145</v>
      </c>
      <c r="Z28" s="17">
        <v>76954</v>
      </c>
      <c r="AA28" s="17">
        <v>72955</v>
      </c>
      <c r="AB28" s="17">
        <v>72682</v>
      </c>
      <c r="AC28" s="17">
        <v>87051</v>
      </c>
      <c r="AD28" s="17">
        <v>89381</v>
      </c>
      <c r="AE28" s="17">
        <v>100375</v>
      </c>
      <c r="AF28" s="17">
        <v>103756</v>
      </c>
      <c r="AG28" s="17">
        <v>98615</v>
      </c>
      <c r="AH28" s="17">
        <v>108849</v>
      </c>
      <c r="AI28" s="17">
        <v>110864</v>
      </c>
      <c r="AJ28" s="17">
        <v>105234</v>
      </c>
      <c r="AK28" s="17">
        <v>117012</v>
      </c>
      <c r="AL28" s="17">
        <v>109043</v>
      </c>
      <c r="AM28" s="17">
        <v>107192</v>
      </c>
      <c r="AN28" s="17">
        <v>108341</v>
      </c>
      <c r="AO28" s="17">
        <v>117389</v>
      </c>
      <c r="AP28" s="17">
        <v>120917</v>
      </c>
      <c r="AQ28" s="17">
        <v>125346</v>
      </c>
      <c r="AR28" s="18">
        <v>116176</v>
      </c>
      <c r="AS28" s="19">
        <v>126314</v>
      </c>
      <c r="AT28" s="19">
        <v>139443</v>
      </c>
      <c r="AU28" s="20">
        <v>156703</v>
      </c>
      <c r="AV28" s="20">
        <v>159632</v>
      </c>
      <c r="AW28" s="19">
        <v>146177</v>
      </c>
      <c r="AX28" s="19">
        <v>175736</v>
      </c>
      <c r="AY28" s="20">
        <v>172711</v>
      </c>
      <c r="AZ28" s="20">
        <v>185212</v>
      </c>
      <c r="BA28" s="20">
        <v>190450</v>
      </c>
      <c r="BB28" s="20">
        <v>198232</v>
      </c>
      <c r="BC28" s="20">
        <v>202477</v>
      </c>
      <c r="BD28" s="20">
        <v>210712</v>
      </c>
      <c r="BE28" s="21">
        <v>223636</v>
      </c>
      <c r="BF28" s="21">
        <v>246433</v>
      </c>
      <c r="BG28" s="21">
        <v>259569</v>
      </c>
      <c r="BH28" s="21">
        <v>265261</v>
      </c>
      <c r="BI28" s="22">
        <v>252978.185</v>
      </c>
      <c r="BJ28" s="21">
        <v>237129.65599999999</v>
      </c>
      <c r="BK28" s="21">
        <v>245822.76699999999</v>
      </c>
      <c r="BL28" s="21">
        <v>254253.95800000001</v>
      </c>
      <c r="BM28" s="23">
        <v>262302.99600000004</v>
      </c>
      <c r="BN28" s="23">
        <v>264682</v>
      </c>
      <c r="BO28" s="37">
        <v>270918</v>
      </c>
      <c r="BP28" s="37">
        <v>268546</v>
      </c>
      <c r="BQ28" s="40">
        <v>265741</v>
      </c>
      <c r="BR28" s="40">
        <v>270340</v>
      </c>
      <c r="BS28" s="51">
        <v>272327</v>
      </c>
      <c r="BT28" s="51">
        <v>278801</v>
      </c>
      <c r="BU28" s="51">
        <v>287264</v>
      </c>
      <c r="BV28" s="51">
        <v>308761</v>
      </c>
    </row>
    <row r="29" spans="1:74" ht="8.9" customHeight="1">
      <c r="A29" s="16" t="s">
        <v>26</v>
      </c>
      <c r="B29" s="17">
        <v>6850</v>
      </c>
      <c r="C29" s="17">
        <v>8314</v>
      </c>
      <c r="D29" s="17">
        <v>9842</v>
      </c>
      <c r="E29" s="17">
        <v>11467</v>
      </c>
      <c r="F29" s="17">
        <v>13164</v>
      </c>
      <c r="G29" s="17">
        <v>15098</v>
      </c>
      <c r="H29" s="17">
        <v>17612</v>
      </c>
      <c r="I29" s="17">
        <v>19368</v>
      </c>
      <c r="J29" s="17">
        <v>22608</v>
      </c>
      <c r="K29" s="17">
        <v>24903</v>
      </c>
      <c r="L29" s="17">
        <v>28978</v>
      </c>
      <c r="M29" s="17">
        <v>32162</v>
      </c>
      <c r="N29" s="17">
        <v>35458</v>
      </c>
      <c r="O29" s="17">
        <v>38583</v>
      </c>
      <c r="P29" s="17">
        <v>40301</v>
      </c>
      <c r="Q29" s="17">
        <v>41277</v>
      </c>
      <c r="R29" s="17">
        <v>44116</v>
      </c>
      <c r="S29" s="17">
        <v>48839</v>
      </c>
      <c r="T29" s="17">
        <v>52296</v>
      </c>
      <c r="U29" s="17">
        <v>57953</v>
      </c>
      <c r="V29" s="17">
        <v>64040</v>
      </c>
      <c r="W29" s="17">
        <v>70694</v>
      </c>
      <c r="X29" s="17">
        <v>82527</v>
      </c>
      <c r="Y29" s="17">
        <v>98786</v>
      </c>
      <c r="Z29" s="17">
        <v>115727</v>
      </c>
      <c r="AA29" s="17">
        <v>115766</v>
      </c>
      <c r="AB29" s="17">
        <v>111312</v>
      </c>
      <c r="AC29" s="17">
        <v>122417</v>
      </c>
      <c r="AD29" s="17">
        <v>130692</v>
      </c>
      <c r="AE29" s="17">
        <v>140661</v>
      </c>
      <c r="AF29" s="17">
        <v>146991</v>
      </c>
      <c r="AG29" s="17">
        <v>145923</v>
      </c>
      <c r="AH29" s="17">
        <v>168245</v>
      </c>
      <c r="AI29" s="17">
        <v>176055</v>
      </c>
      <c r="AJ29" s="17">
        <v>192733</v>
      </c>
      <c r="AK29" s="17">
        <v>202825</v>
      </c>
      <c r="AL29" s="17">
        <v>206645</v>
      </c>
      <c r="AM29" s="17">
        <v>207842</v>
      </c>
      <c r="AN29" s="17">
        <v>205326</v>
      </c>
      <c r="AO29" s="17">
        <v>203577</v>
      </c>
      <c r="AP29" s="17">
        <v>210467</v>
      </c>
      <c r="AQ29" s="17">
        <v>220284</v>
      </c>
      <c r="AR29" s="18">
        <v>222767</v>
      </c>
      <c r="AS29" s="19">
        <v>250632</v>
      </c>
      <c r="AT29" s="19">
        <v>260476</v>
      </c>
      <c r="AU29" s="20">
        <v>285824</v>
      </c>
      <c r="AV29" s="20">
        <v>314454</v>
      </c>
      <c r="AW29" s="19">
        <v>338899</v>
      </c>
      <c r="AX29" s="19">
        <v>318345</v>
      </c>
      <c r="AY29" s="20">
        <v>362739</v>
      </c>
      <c r="AZ29" s="20">
        <v>361429</v>
      </c>
      <c r="BA29" s="20">
        <v>364475</v>
      </c>
      <c r="BB29" s="20">
        <v>366839</v>
      </c>
      <c r="BC29" s="20">
        <v>375476</v>
      </c>
      <c r="BD29" s="20">
        <v>378061</v>
      </c>
      <c r="BE29" s="21">
        <v>404167</v>
      </c>
      <c r="BF29" s="21">
        <v>407252</v>
      </c>
      <c r="BG29" s="21">
        <v>412295</v>
      </c>
      <c r="BH29" s="21">
        <v>436757</v>
      </c>
      <c r="BI29" s="22">
        <v>409191.01099999994</v>
      </c>
      <c r="BJ29" s="21">
        <v>389466.962</v>
      </c>
      <c r="BK29" s="21">
        <v>426249.11100000003</v>
      </c>
      <c r="BL29" s="21">
        <v>424670.49900000001</v>
      </c>
      <c r="BM29" s="23">
        <v>420809.41700000002</v>
      </c>
      <c r="BN29" s="23">
        <v>429748</v>
      </c>
      <c r="BO29" s="37">
        <v>442447</v>
      </c>
      <c r="BP29" s="37">
        <v>444076</v>
      </c>
      <c r="BQ29" s="40">
        <v>467201</v>
      </c>
      <c r="BR29" s="40">
        <v>466125</v>
      </c>
      <c r="BS29" s="52">
        <v>466843</v>
      </c>
      <c r="BT29" s="52">
        <v>488471</v>
      </c>
      <c r="BU29" s="52">
        <v>482016</v>
      </c>
      <c r="BV29" s="52">
        <v>529740</v>
      </c>
    </row>
    <row r="30" spans="1:74" ht="8.9" customHeight="1">
      <c r="A30" s="8" t="s">
        <v>27</v>
      </c>
      <c r="B30" s="9">
        <v>5121</v>
      </c>
      <c r="C30" s="9">
        <v>6583</v>
      </c>
      <c r="D30" s="9">
        <v>8709</v>
      </c>
      <c r="E30" s="9">
        <v>10984</v>
      </c>
      <c r="F30" s="9">
        <v>13187</v>
      </c>
      <c r="G30" s="9">
        <v>14441</v>
      </c>
      <c r="H30" s="9">
        <v>15039</v>
      </c>
      <c r="I30" s="9">
        <v>16110</v>
      </c>
      <c r="J30" s="9">
        <v>17488</v>
      </c>
      <c r="K30" s="9">
        <v>17444</v>
      </c>
      <c r="L30" s="9">
        <v>18781</v>
      </c>
      <c r="M30" s="9">
        <v>18825</v>
      </c>
      <c r="N30" s="9">
        <v>19697</v>
      </c>
      <c r="O30" s="9">
        <v>21796</v>
      </c>
      <c r="P30" s="9">
        <v>23758</v>
      </c>
      <c r="Q30" s="9">
        <v>26411</v>
      </c>
      <c r="R30" s="9">
        <v>26079</v>
      </c>
      <c r="S30" s="9">
        <v>27302</v>
      </c>
      <c r="T30" s="9">
        <v>26519</v>
      </c>
      <c r="U30" s="9">
        <v>32712</v>
      </c>
      <c r="V30" s="9">
        <v>35283</v>
      </c>
      <c r="W30" s="9">
        <v>37766</v>
      </c>
      <c r="X30" s="9">
        <v>40609</v>
      </c>
      <c r="Y30" s="9">
        <v>44418</v>
      </c>
      <c r="Z30" s="9">
        <v>48573</v>
      </c>
      <c r="AA30" s="9">
        <v>54931</v>
      </c>
      <c r="AB30" s="9">
        <v>53400</v>
      </c>
      <c r="AC30" s="9">
        <v>50993</v>
      </c>
      <c r="AD30" s="9">
        <v>55446</v>
      </c>
      <c r="AE30" s="9">
        <v>70526</v>
      </c>
      <c r="AF30" s="9">
        <v>72566</v>
      </c>
      <c r="AG30" s="9">
        <v>78064</v>
      </c>
      <c r="AH30" s="9">
        <v>78099</v>
      </c>
      <c r="AI30" s="9">
        <v>83480</v>
      </c>
      <c r="AJ30" s="9">
        <v>84397</v>
      </c>
      <c r="AK30" s="9">
        <v>77741</v>
      </c>
      <c r="AL30" s="9">
        <v>92782</v>
      </c>
      <c r="AM30" s="9">
        <v>97156</v>
      </c>
      <c r="AN30" s="9">
        <v>118493</v>
      </c>
      <c r="AO30" s="9">
        <v>117149</v>
      </c>
      <c r="AP30" s="9">
        <v>129958</v>
      </c>
      <c r="AQ30" s="9">
        <v>132136</v>
      </c>
      <c r="AR30" s="10">
        <v>141735</v>
      </c>
      <c r="AS30" s="11">
        <v>146743</v>
      </c>
      <c r="AT30" s="11">
        <v>176300</v>
      </c>
      <c r="AU30" s="12">
        <v>174734</v>
      </c>
      <c r="AV30" s="12">
        <v>176726</v>
      </c>
      <c r="AW30" s="11">
        <v>220132</v>
      </c>
      <c r="AX30" s="11">
        <v>223864</v>
      </c>
      <c r="AY30" s="12">
        <v>230337</v>
      </c>
      <c r="AZ30" s="12">
        <v>262918</v>
      </c>
      <c r="BA30" s="12">
        <v>264306</v>
      </c>
      <c r="BB30" s="12">
        <v>268577</v>
      </c>
      <c r="BC30" s="12">
        <v>287935</v>
      </c>
      <c r="BD30" s="12">
        <v>298113</v>
      </c>
      <c r="BE30" s="13">
        <v>332118</v>
      </c>
      <c r="BF30" s="13">
        <v>388933</v>
      </c>
      <c r="BG30" s="13">
        <v>399257</v>
      </c>
      <c r="BH30" s="13">
        <v>387773</v>
      </c>
      <c r="BI30" s="14">
        <v>334505.859</v>
      </c>
      <c r="BJ30" s="13">
        <v>311206.76500000001</v>
      </c>
      <c r="BK30" s="13">
        <v>308845.90800000005</v>
      </c>
      <c r="BL30" s="13">
        <v>297764.90400000004</v>
      </c>
      <c r="BM30" s="15">
        <v>299954.14900000003</v>
      </c>
      <c r="BN30" s="15">
        <v>317521</v>
      </c>
      <c r="BO30" s="36">
        <v>301283</v>
      </c>
      <c r="BP30" s="36">
        <v>310562</v>
      </c>
      <c r="BQ30" s="39">
        <v>337601</v>
      </c>
      <c r="BR30" s="39">
        <v>375201</v>
      </c>
      <c r="BS30" s="51">
        <v>353072</v>
      </c>
      <c r="BT30" s="51">
        <v>386789</v>
      </c>
      <c r="BU30" s="51">
        <v>388977</v>
      </c>
      <c r="BV30" s="51">
        <v>423343</v>
      </c>
    </row>
    <row r="31" spans="1:74" ht="8.9" customHeight="1">
      <c r="A31" s="16" t="s">
        <v>28</v>
      </c>
      <c r="B31" s="17">
        <v>280</v>
      </c>
      <c r="C31" s="17">
        <v>460</v>
      </c>
      <c r="D31" s="17">
        <v>582</v>
      </c>
      <c r="E31" s="17">
        <v>608</v>
      </c>
      <c r="F31" s="17">
        <v>624</v>
      </c>
      <c r="G31" s="17">
        <v>618</v>
      </c>
      <c r="H31" s="17">
        <v>1257</v>
      </c>
      <c r="I31" s="17">
        <v>942</v>
      </c>
      <c r="J31" s="17">
        <v>1236</v>
      </c>
      <c r="K31" s="17">
        <v>1473</v>
      </c>
      <c r="L31" s="17">
        <v>1889</v>
      </c>
      <c r="M31" s="17">
        <v>2333</v>
      </c>
      <c r="N31" s="17">
        <v>2793</v>
      </c>
      <c r="O31" s="17">
        <v>3314</v>
      </c>
      <c r="P31" s="17">
        <v>4036</v>
      </c>
      <c r="Q31" s="17">
        <v>4668</v>
      </c>
      <c r="R31" s="17">
        <v>5541</v>
      </c>
      <c r="S31" s="17">
        <v>7401</v>
      </c>
      <c r="T31" s="17">
        <v>7873</v>
      </c>
      <c r="U31" s="17">
        <v>10088</v>
      </c>
      <c r="V31" s="17">
        <v>11515</v>
      </c>
      <c r="W31" s="17">
        <v>12546</v>
      </c>
      <c r="X31" s="17">
        <v>15028</v>
      </c>
      <c r="Y31" s="17">
        <v>16373</v>
      </c>
      <c r="Z31" s="17">
        <v>18195</v>
      </c>
      <c r="AA31" s="17">
        <v>19035</v>
      </c>
      <c r="AB31" s="17">
        <v>17937</v>
      </c>
      <c r="AC31" s="17">
        <v>20467</v>
      </c>
      <c r="AD31" s="17">
        <v>21019</v>
      </c>
      <c r="AE31" s="17">
        <v>24152</v>
      </c>
      <c r="AF31" s="17">
        <v>26386</v>
      </c>
      <c r="AG31" s="17">
        <v>27956</v>
      </c>
      <c r="AH31" s="17">
        <v>29826</v>
      </c>
      <c r="AI31" s="17">
        <v>32078</v>
      </c>
      <c r="AJ31" s="17">
        <v>34468</v>
      </c>
      <c r="AK31" s="17">
        <v>41718</v>
      </c>
      <c r="AL31" s="17">
        <v>43101</v>
      </c>
      <c r="AM31" s="17">
        <v>51936</v>
      </c>
      <c r="AN31" s="17">
        <v>55666</v>
      </c>
      <c r="AO31" s="17">
        <v>58798</v>
      </c>
      <c r="AP31" s="17">
        <v>60266</v>
      </c>
      <c r="AQ31" s="17">
        <v>51759</v>
      </c>
      <c r="AR31" s="18">
        <v>48895</v>
      </c>
      <c r="AS31" s="19">
        <v>51273</v>
      </c>
      <c r="AT31" s="19">
        <v>53913</v>
      </c>
      <c r="AU31" s="20">
        <v>56564</v>
      </c>
      <c r="AV31" s="20">
        <v>63584</v>
      </c>
      <c r="AW31" s="19">
        <v>61335</v>
      </c>
      <c r="AX31" s="19">
        <v>116402</v>
      </c>
      <c r="AY31" s="20">
        <v>103848</v>
      </c>
      <c r="AZ31" s="20">
        <v>103763</v>
      </c>
      <c r="BA31" s="20">
        <v>99492</v>
      </c>
      <c r="BB31" s="20">
        <v>100115</v>
      </c>
      <c r="BC31" s="20">
        <v>105418</v>
      </c>
      <c r="BD31" s="20">
        <v>102119</v>
      </c>
      <c r="BE31" s="21">
        <v>112131</v>
      </c>
      <c r="BF31" s="21">
        <v>111356</v>
      </c>
      <c r="BG31" s="21">
        <v>102060</v>
      </c>
      <c r="BH31" s="21">
        <v>104823</v>
      </c>
      <c r="BI31" s="22">
        <v>98974.925000000003</v>
      </c>
      <c r="BJ31" s="21">
        <v>93696.738000000012</v>
      </c>
      <c r="BK31" s="21">
        <v>94210.08</v>
      </c>
      <c r="BL31" s="21">
        <v>92713.832999999999</v>
      </c>
      <c r="BM31" s="23">
        <v>92156.991000000009</v>
      </c>
      <c r="BN31" s="23">
        <v>92287</v>
      </c>
      <c r="BO31" s="37">
        <v>97516</v>
      </c>
      <c r="BP31" s="37">
        <v>101522</v>
      </c>
      <c r="BQ31" s="40">
        <v>98355</v>
      </c>
      <c r="BR31" s="40">
        <v>102043</v>
      </c>
      <c r="BS31" s="51">
        <v>104819</v>
      </c>
      <c r="BT31" s="51">
        <v>102744</v>
      </c>
      <c r="BU31" s="51">
        <v>104562</v>
      </c>
      <c r="BV31" s="51">
        <v>129259</v>
      </c>
    </row>
    <row r="32" spans="1:74" ht="8.9" customHeight="1">
      <c r="A32" s="16" t="s">
        <v>29</v>
      </c>
      <c r="B32" s="17">
        <v>22858</v>
      </c>
      <c r="C32" s="17">
        <v>27599</v>
      </c>
      <c r="D32" s="17">
        <v>33332</v>
      </c>
      <c r="E32" s="17">
        <v>37153</v>
      </c>
      <c r="F32" s="17">
        <v>40656</v>
      </c>
      <c r="G32" s="17">
        <v>42522</v>
      </c>
      <c r="H32" s="17">
        <v>47360</v>
      </c>
      <c r="I32" s="17">
        <v>52455</v>
      </c>
      <c r="J32" s="17">
        <v>60694</v>
      </c>
      <c r="K32" s="17">
        <v>68516</v>
      </c>
      <c r="L32" s="17">
        <v>81102</v>
      </c>
      <c r="M32" s="17">
        <v>91911</v>
      </c>
      <c r="N32" s="17">
        <v>101782</v>
      </c>
      <c r="O32" s="17">
        <v>105331</v>
      </c>
      <c r="P32" s="17">
        <v>123633</v>
      </c>
      <c r="Q32" s="17">
        <v>145414</v>
      </c>
      <c r="R32" s="17">
        <v>160734</v>
      </c>
      <c r="S32" s="17">
        <v>179435</v>
      </c>
      <c r="T32" s="17">
        <v>189425</v>
      </c>
      <c r="U32" s="17">
        <v>208252</v>
      </c>
      <c r="V32" s="17">
        <v>219649</v>
      </c>
      <c r="W32" s="17">
        <v>232650</v>
      </c>
      <c r="X32" s="17">
        <v>245984</v>
      </c>
      <c r="Y32" s="17">
        <v>263603</v>
      </c>
      <c r="Z32" s="17">
        <v>290195</v>
      </c>
      <c r="AA32" s="17">
        <v>287737</v>
      </c>
      <c r="AB32" s="17">
        <v>266173</v>
      </c>
      <c r="AC32" s="17">
        <v>295650</v>
      </c>
      <c r="AD32" s="17">
        <v>311053</v>
      </c>
      <c r="AE32" s="17">
        <v>328553</v>
      </c>
      <c r="AF32" s="17">
        <v>338563</v>
      </c>
      <c r="AG32" s="17">
        <v>340076</v>
      </c>
      <c r="AH32" s="17">
        <v>375332</v>
      </c>
      <c r="AI32" s="17">
        <v>380333</v>
      </c>
      <c r="AJ32" s="17">
        <v>411362</v>
      </c>
      <c r="AK32" s="17">
        <v>439916</v>
      </c>
      <c r="AL32" s="17">
        <v>448246</v>
      </c>
      <c r="AM32" s="17">
        <v>453554</v>
      </c>
      <c r="AN32" s="17">
        <v>552038</v>
      </c>
      <c r="AO32" s="17">
        <v>518538</v>
      </c>
      <c r="AP32" s="17">
        <v>455359</v>
      </c>
      <c r="AQ32" s="17">
        <v>422486</v>
      </c>
      <c r="AR32" s="18">
        <v>389054</v>
      </c>
      <c r="AS32" s="19">
        <v>374846</v>
      </c>
      <c r="AT32" s="19">
        <v>460571</v>
      </c>
      <c r="AU32" s="20">
        <v>561865</v>
      </c>
      <c r="AV32" s="20">
        <v>490475</v>
      </c>
      <c r="AW32" s="19">
        <v>600618</v>
      </c>
      <c r="AX32" s="19">
        <v>682581</v>
      </c>
      <c r="AY32" s="20">
        <v>720088</v>
      </c>
      <c r="AZ32" s="20">
        <v>771389</v>
      </c>
      <c r="BA32" s="20">
        <v>786783</v>
      </c>
      <c r="BB32" s="20">
        <v>835324</v>
      </c>
      <c r="BC32" s="20">
        <v>834457</v>
      </c>
      <c r="BD32" s="20">
        <v>868681</v>
      </c>
      <c r="BE32" s="21">
        <v>898537</v>
      </c>
      <c r="BF32" s="21">
        <v>937891</v>
      </c>
      <c r="BG32" s="21">
        <v>968042</v>
      </c>
      <c r="BH32" s="21">
        <v>989724</v>
      </c>
      <c r="BI32" s="22">
        <v>904689.25899999985</v>
      </c>
      <c r="BJ32" s="21">
        <v>840945.15899999987</v>
      </c>
      <c r="BK32" s="21">
        <v>794560.11499999987</v>
      </c>
      <c r="BL32" s="21">
        <v>800447.27999999991</v>
      </c>
      <c r="BM32" s="23">
        <v>786804.38299999991</v>
      </c>
      <c r="BN32" s="23">
        <v>789819</v>
      </c>
      <c r="BO32" s="37">
        <v>821055</v>
      </c>
      <c r="BP32" s="37">
        <v>768334</v>
      </c>
      <c r="BQ32" s="40">
        <v>902613</v>
      </c>
      <c r="BR32" s="40">
        <v>814832</v>
      </c>
      <c r="BS32" s="51">
        <v>810218</v>
      </c>
      <c r="BT32" s="51">
        <v>800663</v>
      </c>
      <c r="BU32" s="51">
        <v>737611</v>
      </c>
      <c r="BV32" s="51">
        <v>789011</v>
      </c>
    </row>
    <row r="33" spans="1:74" ht="8.9" customHeight="1">
      <c r="A33" s="26" t="s">
        <v>30</v>
      </c>
      <c r="B33" s="27">
        <v>4855</v>
      </c>
      <c r="C33" s="27">
        <v>7499</v>
      </c>
      <c r="D33" s="27">
        <v>11143</v>
      </c>
      <c r="E33" s="27">
        <v>15000</v>
      </c>
      <c r="F33" s="27">
        <v>18767</v>
      </c>
      <c r="G33" s="27">
        <v>20507</v>
      </c>
      <c r="H33" s="27">
        <v>23922</v>
      </c>
      <c r="I33" s="27">
        <v>30605</v>
      </c>
      <c r="J33" s="27">
        <v>35886</v>
      </c>
      <c r="K33" s="27">
        <v>36375</v>
      </c>
      <c r="L33" s="27">
        <v>43656</v>
      </c>
      <c r="M33" s="27">
        <v>43797</v>
      </c>
      <c r="N33" s="27">
        <v>45944</v>
      </c>
      <c r="O33" s="27">
        <v>49357</v>
      </c>
      <c r="P33" s="27">
        <v>49322</v>
      </c>
      <c r="Q33" s="27">
        <v>50681</v>
      </c>
      <c r="R33" s="27">
        <v>55381</v>
      </c>
      <c r="S33" s="27">
        <v>59299</v>
      </c>
      <c r="T33" s="27">
        <v>63000</v>
      </c>
      <c r="U33" s="27">
        <v>65904</v>
      </c>
      <c r="V33" s="27">
        <v>72757</v>
      </c>
      <c r="W33" s="27">
        <v>78892</v>
      </c>
      <c r="X33" s="27">
        <v>84874</v>
      </c>
      <c r="Y33" s="27">
        <v>95494</v>
      </c>
      <c r="Z33" s="27">
        <v>102845</v>
      </c>
      <c r="AA33" s="27">
        <v>106810</v>
      </c>
      <c r="AB33" s="27">
        <v>109831</v>
      </c>
      <c r="AC33" s="27">
        <v>127097</v>
      </c>
      <c r="AD33" s="27">
        <v>132721</v>
      </c>
      <c r="AE33" s="27">
        <v>156150</v>
      </c>
      <c r="AF33" s="27">
        <v>159153</v>
      </c>
      <c r="AG33" s="27">
        <v>167771</v>
      </c>
      <c r="AH33" s="27">
        <v>153050</v>
      </c>
      <c r="AI33" s="27">
        <v>151331</v>
      </c>
      <c r="AJ33" s="27">
        <v>153066</v>
      </c>
      <c r="AK33" s="27">
        <v>172678</v>
      </c>
      <c r="AL33" s="27">
        <v>181356</v>
      </c>
      <c r="AM33" s="27">
        <v>187719</v>
      </c>
      <c r="AN33" s="27">
        <v>189734</v>
      </c>
      <c r="AO33" s="27">
        <v>207369</v>
      </c>
      <c r="AP33" s="27">
        <v>208355</v>
      </c>
      <c r="AQ33" s="27">
        <v>222638</v>
      </c>
      <c r="AR33" s="28">
        <v>222040</v>
      </c>
      <c r="AS33" s="29">
        <v>234556</v>
      </c>
      <c r="AT33" s="29">
        <v>317607</v>
      </c>
      <c r="AU33" s="30">
        <v>320583</v>
      </c>
      <c r="AV33" s="30">
        <v>310008</v>
      </c>
      <c r="AW33" s="29">
        <v>317110</v>
      </c>
      <c r="AX33" s="29">
        <v>342951</v>
      </c>
      <c r="AY33" s="30">
        <v>395483</v>
      </c>
      <c r="AZ33" s="30">
        <v>400522</v>
      </c>
      <c r="BA33" s="30">
        <v>405626</v>
      </c>
      <c r="BB33" s="30">
        <v>404774</v>
      </c>
      <c r="BC33" s="30">
        <v>420180</v>
      </c>
      <c r="BD33" s="30">
        <v>440275</v>
      </c>
      <c r="BE33" s="31">
        <v>467001</v>
      </c>
      <c r="BF33" s="31">
        <v>481766</v>
      </c>
      <c r="BG33" s="31">
        <v>520578</v>
      </c>
      <c r="BH33" s="31">
        <v>532246</v>
      </c>
      <c r="BI33" s="32">
        <v>474110.41099999996</v>
      </c>
      <c r="BJ33" s="31">
        <v>451286.57199999999</v>
      </c>
      <c r="BK33" s="31">
        <v>473759.75599999994</v>
      </c>
      <c r="BL33" s="31">
        <v>513615.20500000002</v>
      </c>
      <c r="BM33" s="33">
        <v>513198.46299999999</v>
      </c>
      <c r="BN33" s="33">
        <v>506568</v>
      </c>
      <c r="BO33" s="38">
        <v>530367</v>
      </c>
      <c r="BP33" s="38">
        <v>537064</v>
      </c>
      <c r="BQ33" s="41">
        <v>540186</v>
      </c>
      <c r="BR33" s="41">
        <v>573881</v>
      </c>
      <c r="BS33" s="52">
        <v>579381</v>
      </c>
      <c r="BT33" s="52">
        <v>607689</v>
      </c>
      <c r="BU33" s="52">
        <v>637095</v>
      </c>
      <c r="BV33" s="52">
        <v>727789</v>
      </c>
    </row>
    <row r="34" spans="1:74" ht="8.9" customHeight="1">
      <c r="A34" s="16" t="s">
        <v>96</v>
      </c>
      <c r="B34" s="17">
        <v>29623</v>
      </c>
      <c r="C34" s="17">
        <v>36122</v>
      </c>
      <c r="D34" s="17">
        <v>45771</v>
      </c>
      <c r="E34" s="17">
        <v>47948</v>
      </c>
      <c r="F34" s="17">
        <v>53195</v>
      </c>
      <c r="G34" s="17">
        <v>54335</v>
      </c>
      <c r="H34" s="17">
        <v>59408</v>
      </c>
      <c r="I34" s="17">
        <v>63251</v>
      </c>
      <c r="J34" s="17">
        <v>74147</v>
      </c>
      <c r="K34" s="17">
        <v>81251</v>
      </c>
      <c r="L34" s="17">
        <v>85336</v>
      </c>
      <c r="M34" s="17">
        <v>93005</v>
      </c>
      <c r="N34" s="17">
        <v>99560</v>
      </c>
      <c r="O34" s="17">
        <v>99110</v>
      </c>
      <c r="P34" s="17">
        <v>107331</v>
      </c>
      <c r="Q34" s="17">
        <v>124883</v>
      </c>
      <c r="R34" s="17">
        <v>136272</v>
      </c>
      <c r="S34" s="17">
        <v>156497</v>
      </c>
      <c r="T34" s="17">
        <v>171214</v>
      </c>
      <c r="U34" s="17">
        <v>183255</v>
      </c>
      <c r="V34" s="17">
        <v>216112</v>
      </c>
      <c r="W34" s="17">
        <v>242685</v>
      </c>
      <c r="X34" s="17">
        <v>251535</v>
      </c>
      <c r="Y34" s="17">
        <v>267259</v>
      </c>
      <c r="Z34" s="17">
        <v>300273</v>
      </c>
      <c r="AA34" s="17">
        <v>283092</v>
      </c>
      <c r="AB34" s="17">
        <v>270000</v>
      </c>
      <c r="AC34" s="17">
        <v>293464</v>
      </c>
      <c r="AD34" s="17">
        <v>317568</v>
      </c>
      <c r="AE34" s="17">
        <v>345114</v>
      </c>
      <c r="AF34" s="17">
        <v>340261</v>
      </c>
      <c r="AG34" s="17">
        <v>332853</v>
      </c>
      <c r="AH34" s="17">
        <v>388487</v>
      </c>
      <c r="AI34" s="17">
        <v>381363</v>
      </c>
      <c r="AJ34" s="17">
        <v>409056</v>
      </c>
      <c r="AK34" s="17">
        <v>562082</v>
      </c>
      <c r="AL34" s="17">
        <v>593455</v>
      </c>
      <c r="AM34" s="17">
        <v>626290</v>
      </c>
      <c r="AN34" s="17">
        <v>641260</v>
      </c>
      <c r="AO34" s="17">
        <v>753116</v>
      </c>
      <c r="AP34" s="17">
        <v>713648</v>
      </c>
      <c r="AQ34" s="17">
        <v>859646</v>
      </c>
      <c r="AR34" s="18">
        <v>807221</v>
      </c>
      <c r="AS34" s="19">
        <v>838520</v>
      </c>
      <c r="AT34" s="19">
        <v>862944</v>
      </c>
      <c r="AU34" s="20">
        <v>916983</v>
      </c>
      <c r="AV34" s="20">
        <v>921800</v>
      </c>
      <c r="AW34" s="19">
        <v>931040</v>
      </c>
      <c r="AX34" s="19">
        <v>908532</v>
      </c>
      <c r="AY34" s="20">
        <v>960070</v>
      </c>
      <c r="AZ34" s="20">
        <v>1018288</v>
      </c>
      <c r="BA34" s="20">
        <v>993979</v>
      </c>
      <c r="BB34" s="20">
        <v>963076</v>
      </c>
      <c r="BC34" s="20">
        <v>1168072</v>
      </c>
      <c r="BD34" s="20">
        <v>1262914</v>
      </c>
      <c r="BE34" s="21">
        <v>1415523</v>
      </c>
      <c r="BF34" s="21">
        <v>1436531</v>
      </c>
      <c r="BG34" s="21">
        <v>1374167</v>
      </c>
      <c r="BH34" s="21">
        <v>1431990</v>
      </c>
      <c r="BI34" s="22">
        <v>1423315.5379999997</v>
      </c>
      <c r="BJ34" s="21">
        <v>1358397.3510000003</v>
      </c>
      <c r="BK34" s="21">
        <v>1358578.1529999999</v>
      </c>
      <c r="BL34" s="21">
        <v>1350321.754</v>
      </c>
      <c r="BM34" s="23">
        <v>1367780.007</v>
      </c>
      <c r="BN34" s="23">
        <v>1351193</v>
      </c>
      <c r="BO34" s="37">
        <v>1383410</v>
      </c>
      <c r="BP34" s="37">
        <v>1397147</v>
      </c>
      <c r="BQ34" s="40">
        <v>1500126</v>
      </c>
      <c r="BR34" s="40">
        <v>1560007</v>
      </c>
      <c r="BS34" s="50">
        <v>1325256</v>
      </c>
      <c r="BT34" s="50">
        <v>1499237</v>
      </c>
      <c r="BU34" s="50">
        <v>1371684</v>
      </c>
      <c r="BV34" s="50">
        <v>1444782</v>
      </c>
    </row>
    <row r="35" spans="1:74" ht="8.25" customHeight="1">
      <c r="A35" s="16" t="s">
        <v>31</v>
      </c>
      <c r="B35" s="17">
        <v>4908</v>
      </c>
      <c r="C35" s="17">
        <v>6305</v>
      </c>
      <c r="D35" s="17">
        <v>11742</v>
      </c>
      <c r="E35" s="17">
        <v>15367</v>
      </c>
      <c r="F35" s="17">
        <v>17309</v>
      </c>
      <c r="G35" s="17">
        <v>18697</v>
      </c>
      <c r="H35" s="17">
        <v>22060</v>
      </c>
      <c r="I35" s="17">
        <v>32051</v>
      </c>
      <c r="J35" s="17">
        <v>33701</v>
      </c>
      <c r="K35" s="17">
        <v>39458</v>
      </c>
      <c r="L35" s="17">
        <v>48111</v>
      </c>
      <c r="M35" s="17">
        <v>53096</v>
      </c>
      <c r="N35" s="17">
        <v>58016</v>
      </c>
      <c r="O35" s="17">
        <v>66170</v>
      </c>
      <c r="P35" s="17">
        <v>74929</v>
      </c>
      <c r="Q35" s="17">
        <v>85958</v>
      </c>
      <c r="R35" s="17">
        <v>97941</v>
      </c>
      <c r="S35" s="17">
        <v>120505</v>
      </c>
      <c r="T35" s="17">
        <v>131251</v>
      </c>
      <c r="U35" s="17">
        <v>148030</v>
      </c>
      <c r="V35" s="17">
        <v>166568</v>
      </c>
      <c r="W35" s="17">
        <v>176962</v>
      </c>
      <c r="X35" s="17">
        <v>204327</v>
      </c>
      <c r="Y35" s="17">
        <v>230693</v>
      </c>
      <c r="Z35" s="17">
        <v>277466</v>
      </c>
      <c r="AA35" s="17">
        <v>269586</v>
      </c>
      <c r="AB35" s="17">
        <v>261400</v>
      </c>
      <c r="AC35" s="17">
        <v>304034</v>
      </c>
      <c r="AD35" s="17">
        <v>331764</v>
      </c>
      <c r="AE35" s="17">
        <v>371219</v>
      </c>
      <c r="AF35" s="17">
        <v>396826</v>
      </c>
      <c r="AG35" s="17">
        <v>382817</v>
      </c>
      <c r="AH35" s="17">
        <v>410348</v>
      </c>
      <c r="AI35" s="17">
        <v>421719</v>
      </c>
      <c r="AJ35" s="17">
        <v>470526</v>
      </c>
      <c r="AK35" s="17">
        <v>515582</v>
      </c>
      <c r="AL35" s="17">
        <v>523020</v>
      </c>
      <c r="AM35" s="17">
        <v>560101</v>
      </c>
      <c r="AN35" s="17">
        <v>587480</v>
      </c>
      <c r="AO35" s="17">
        <v>620894</v>
      </c>
      <c r="AP35" s="17">
        <v>621760</v>
      </c>
      <c r="AQ35" s="17">
        <v>627675</v>
      </c>
      <c r="AR35" s="18">
        <v>604982</v>
      </c>
      <c r="AS35" s="19">
        <v>646668</v>
      </c>
      <c r="AT35" s="19">
        <v>666330</v>
      </c>
      <c r="AU35" s="20">
        <v>772022</v>
      </c>
      <c r="AV35" s="20">
        <v>780523</v>
      </c>
      <c r="AW35" s="19">
        <v>799876</v>
      </c>
      <c r="AX35" s="19">
        <v>850327</v>
      </c>
      <c r="AY35" s="20">
        <v>898737</v>
      </c>
      <c r="AZ35" s="20">
        <v>883343</v>
      </c>
      <c r="BA35" s="20">
        <v>1021070</v>
      </c>
      <c r="BB35" s="20">
        <v>958844</v>
      </c>
      <c r="BC35" s="20">
        <v>980564</v>
      </c>
      <c r="BD35" s="20">
        <v>1040189</v>
      </c>
      <c r="BE35" s="21">
        <v>1101259</v>
      </c>
      <c r="BF35" s="21">
        <v>1106741</v>
      </c>
      <c r="BG35" s="21">
        <v>1123274</v>
      </c>
      <c r="BH35" s="21">
        <v>1113940</v>
      </c>
      <c r="BI35" s="22">
        <v>1021664.581</v>
      </c>
      <c r="BJ35" s="21">
        <v>934388.04099999997</v>
      </c>
      <c r="BK35" s="21">
        <v>991653.91899999999</v>
      </c>
      <c r="BL35" s="21">
        <v>997770.56700000004</v>
      </c>
      <c r="BM35" s="23">
        <v>957407.12800000003</v>
      </c>
      <c r="BN35" s="23">
        <v>983484</v>
      </c>
      <c r="BO35" s="37">
        <v>1029810</v>
      </c>
      <c r="BP35" s="37">
        <v>1068776</v>
      </c>
      <c r="BQ35" s="40">
        <v>1114409</v>
      </c>
      <c r="BR35" s="40">
        <v>1145983</v>
      </c>
      <c r="BS35" s="51">
        <v>1173039</v>
      </c>
      <c r="BT35" s="51">
        <v>1207990</v>
      </c>
      <c r="BU35" s="51">
        <v>1211035</v>
      </c>
      <c r="BV35" s="51">
        <v>1245572</v>
      </c>
    </row>
    <row r="36" spans="1:74" ht="9.75" customHeight="1">
      <c r="A36" s="16" t="s">
        <v>32</v>
      </c>
      <c r="B36" s="17">
        <v>2460</v>
      </c>
      <c r="C36" s="17">
        <v>3044</v>
      </c>
      <c r="D36" s="17">
        <v>4172</v>
      </c>
      <c r="E36" s="17">
        <v>5258</v>
      </c>
      <c r="F36" s="17">
        <v>5278</v>
      </c>
      <c r="G36" s="17">
        <v>5830</v>
      </c>
      <c r="H36" s="17">
        <v>6890</v>
      </c>
      <c r="I36" s="17">
        <v>13796</v>
      </c>
      <c r="J36" s="17">
        <v>13988</v>
      </c>
      <c r="K36" s="17">
        <v>15492</v>
      </c>
      <c r="L36" s="17">
        <v>10354</v>
      </c>
      <c r="M36" s="17">
        <v>11115</v>
      </c>
      <c r="N36" s="17">
        <v>18146</v>
      </c>
      <c r="O36" s="17">
        <v>15858</v>
      </c>
      <c r="P36" s="17">
        <v>18554</v>
      </c>
      <c r="Q36" s="17">
        <v>24125</v>
      </c>
      <c r="R36" s="17">
        <v>25482</v>
      </c>
      <c r="S36" s="17">
        <v>25601</v>
      </c>
      <c r="T36" s="17">
        <v>25171</v>
      </c>
      <c r="U36" s="17">
        <v>27863</v>
      </c>
      <c r="V36" s="17">
        <v>28610</v>
      </c>
      <c r="W36" s="17">
        <v>36052</v>
      </c>
      <c r="X36" s="17">
        <v>35949</v>
      </c>
      <c r="Y36" s="17">
        <v>38164</v>
      </c>
      <c r="Z36" s="17">
        <v>47407</v>
      </c>
      <c r="AA36" s="17">
        <v>40793</v>
      </c>
      <c r="AB36" s="17">
        <v>47758</v>
      </c>
      <c r="AC36" s="17">
        <v>52000</v>
      </c>
      <c r="AD36" s="17">
        <v>57842</v>
      </c>
      <c r="AE36" s="17">
        <v>58623</v>
      </c>
      <c r="AF36" s="17">
        <v>83618</v>
      </c>
      <c r="AG36" s="17">
        <v>79070</v>
      </c>
      <c r="AH36" s="17">
        <v>87667</v>
      </c>
      <c r="AI36" s="17">
        <v>90595</v>
      </c>
      <c r="AJ36" s="17">
        <v>88495</v>
      </c>
      <c r="AK36" s="17">
        <v>94195</v>
      </c>
      <c r="AL36" s="17">
        <v>96539</v>
      </c>
      <c r="AM36" s="17">
        <v>90174</v>
      </c>
      <c r="AN36" s="17">
        <v>91005</v>
      </c>
      <c r="AO36" s="17">
        <v>92208</v>
      </c>
      <c r="AP36" s="17">
        <v>93428</v>
      </c>
      <c r="AQ36" s="17">
        <v>93125</v>
      </c>
      <c r="AR36" s="18">
        <v>96976</v>
      </c>
      <c r="AS36" s="19">
        <v>102117</v>
      </c>
      <c r="AT36" s="19">
        <v>111546</v>
      </c>
      <c r="AU36" s="20">
        <v>131478</v>
      </c>
      <c r="AV36" s="20">
        <v>134367</v>
      </c>
      <c r="AW36" s="19">
        <v>137112</v>
      </c>
      <c r="AX36" s="19">
        <v>138701</v>
      </c>
      <c r="AY36" s="20">
        <v>144136</v>
      </c>
      <c r="AZ36" s="20">
        <v>142621</v>
      </c>
      <c r="BA36" s="20">
        <v>144134</v>
      </c>
      <c r="BB36" s="20">
        <v>150894</v>
      </c>
      <c r="BC36" s="20">
        <v>150009</v>
      </c>
      <c r="BD36" s="20">
        <v>155976</v>
      </c>
      <c r="BE36" s="21">
        <v>157055</v>
      </c>
      <c r="BF36" s="21">
        <v>172253</v>
      </c>
      <c r="BG36" s="21">
        <v>170425</v>
      </c>
      <c r="BH36" s="21">
        <v>182784</v>
      </c>
      <c r="BI36" s="22">
        <v>198541.36499999996</v>
      </c>
      <c r="BJ36" s="21">
        <v>198426.57499999998</v>
      </c>
      <c r="BK36" s="21">
        <v>239161.30700000003</v>
      </c>
      <c r="BL36" s="21">
        <v>320062.33199999999</v>
      </c>
      <c r="BM36" s="23">
        <v>378361.23800000001</v>
      </c>
      <c r="BN36" s="23">
        <v>394677</v>
      </c>
      <c r="BO36" s="37">
        <v>419455</v>
      </c>
      <c r="BP36" s="37">
        <v>354138</v>
      </c>
      <c r="BQ36" s="40">
        <v>291814</v>
      </c>
      <c r="BR36" s="40">
        <v>311335</v>
      </c>
      <c r="BS36" s="51">
        <v>324171</v>
      </c>
      <c r="BT36" s="51">
        <v>321072</v>
      </c>
      <c r="BU36" s="51">
        <v>280858</v>
      </c>
      <c r="BV36" s="51">
        <v>275285</v>
      </c>
    </row>
    <row r="37" spans="1:74" ht="8.9" customHeight="1">
      <c r="A37" s="16" t="s">
        <v>33</v>
      </c>
      <c r="B37" s="17">
        <v>17600</v>
      </c>
      <c r="C37" s="17">
        <v>21754</v>
      </c>
      <c r="D37" s="17">
        <v>32977</v>
      </c>
      <c r="E37" s="17">
        <v>43318</v>
      </c>
      <c r="F37" s="17">
        <v>52003</v>
      </c>
      <c r="G37" s="17">
        <v>52221</v>
      </c>
      <c r="H37" s="17">
        <v>59753</v>
      </c>
      <c r="I37" s="17">
        <v>68385</v>
      </c>
      <c r="J37" s="17">
        <v>82727</v>
      </c>
      <c r="K37" s="17">
        <v>98898</v>
      </c>
      <c r="L37" s="17">
        <v>120942</v>
      </c>
      <c r="M37" s="17">
        <v>133816</v>
      </c>
      <c r="N37" s="17">
        <v>146293</v>
      </c>
      <c r="O37" s="17">
        <v>166578</v>
      </c>
      <c r="P37" s="17">
        <v>193094</v>
      </c>
      <c r="Q37" s="17">
        <v>226452</v>
      </c>
      <c r="R37" s="17">
        <v>264093</v>
      </c>
      <c r="S37" s="17">
        <v>297781</v>
      </c>
      <c r="T37" s="17">
        <v>306532</v>
      </c>
      <c r="U37" s="17">
        <v>363207</v>
      </c>
      <c r="V37" s="17">
        <v>399052</v>
      </c>
      <c r="W37" s="17">
        <v>395454</v>
      </c>
      <c r="X37" s="17">
        <v>446086</v>
      </c>
      <c r="Y37" s="17">
        <v>494933</v>
      </c>
      <c r="Z37" s="17">
        <v>563700</v>
      </c>
      <c r="AA37" s="17">
        <v>562531</v>
      </c>
      <c r="AB37" s="17">
        <v>524402</v>
      </c>
      <c r="AC37" s="17">
        <v>603591</v>
      </c>
      <c r="AD37" s="17">
        <v>656156</v>
      </c>
      <c r="AE37" s="17">
        <v>707701</v>
      </c>
      <c r="AF37" s="17">
        <v>769417</v>
      </c>
      <c r="AG37" s="17">
        <v>707286</v>
      </c>
      <c r="AH37" s="17">
        <v>749728</v>
      </c>
      <c r="AI37" s="17">
        <v>736272</v>
      </c>
      <c r="AJ37" s="17">
        <v>769320</v>
      </c>
      <c r="AK37" s="17">
        <v>833028</v>
      </c>
      <c r="AL37" s="17">
        <v>848435</v>
      </c>
      <c r="AM37" s="17">
        <v>813962</v>
      </c>
      <c r="AN37" s="17">
        <v>828424</v>
      </c>
      <c r="AO37" s="17">
        <v>878562</v>
      </c>
      <c r="AP37" s="17">
        <v>1051620</v>
      </c>
      <c r="AQ37" s="17">
        <v>964868</v>
      </c>
      <c r="AR37" s="18">
        <v>896861</v>
      </c>
      <c r="AS37" s="19">
        <v>971630</v>
      </c>
      <c r="AT37" s="19">
        <v>1000343</v>
      </c>
      <c r="AU37" s="20">
        <v>1115338</v>
      </c>
      <c r="AV37" s="20">
        <v>1203536</v>
      </c>
      <c r="AW37" s="19">
        <v>1245200</v>
      </c>
      <c r="AX37" s="19">
        <v>1367058</v>
      </c>
      <c r="AY37" s="20">
        <v>1383288</v>
      </c>
      <c r="AZ37" s="20">
        <v>1523918</v>
      </c>
      <c r="BA37" s="20">
        <v>1510523</v>
      </c>
      <c r="BB37" s="20">
        <v>1475619</v>
      </c>
      <c r="BC37" s="20">
        <v>1505012</v>
      </c>
      <c r="BD37" s="20">
        <v>1520063</v>
      </c>
      <c r="BE37" s="21">
        <v>1589020</v>
      </c>
      <c r="BF37" s="21">
        <v>1616611</v>
      </c>
      <c r="BG37" s="21">
        <v>1602008</v>
      </c>
      <c r="BH37" s="21">
        <v>1607615</v>
      </c>
      <c r="BI37" s="22">
        <v>1514163.689</v>
      </c>
      <c r="BJ37" s="21">
        <v>1337711.6340000001</v>
      </c>
      <c r="BK37" s="21">
        <v>1452069.5239999997</v>
      </c>
      <c r="BL37" s="21">
        <v>1472441.3250000002</v>
      </c>
      <c r="BM37" s="23">
        <v>1466076.9510000001</v>
      </c>
      <c r="BN37" s="23">
        <v>1503718</v>
      </c>
      <c r="BO37" s="37">
        <v>1558782</v>
      </c>
      <c r="BP37" s="37">
        <v>1586290</v>
      </c>
      <c r="BQ37" s="40">
        <v>1588495</v>
      </c>
      <c r="BR37" s="40">
        <v>1647488</v>
      </c>
      <c r="BS37" s="52">
        <v>1681933</v>
      </c>
      <c r="BT37" s="52">
        <v>1656621</v>
      </c>
      <c r="BU37" s="52">
        <v>1608577</v>
      </c>
      <c r="BV37" s="52">
        <v>1689050</v>
      </c>
    </row>
    <row r="38" spans="1:74" ht="9.25" customHeight="1">
      <c r="A38" s="8" t="s">
        <v>34</v>
      </c>
      <c r="B38" s="9">
        <v>4545</v>
      </c>
      <c r="C38" s="9">
        <v>5929</v>
      </c>
      <c r="D38" s="9">
        <v>9281</v>
      </c>
      <c r="E38" s="9">
        <v>12204</v>
      </c>
      <c r="F38" s="9">
        <v>14183</v>
      </c>
      <c r="G38" s="9">
        <v>16573</v>
      </c>
      <c r="H38" s="9">
        <v>20083</v>
      </c>
      <c r="I38" s="9">
        <v>25224</v>
      </c>
      <c r="J38" s="9">
        <v>30603</v>
      </c>
      <c r="K38" s="9">
        <v>35792</v>
      </c>
      <c r="L38" s="9">
        <v>41899</v>
      </c>
      <c r="M38" s="9">
        <v>45181</v>
      </c>
      <c r="N38" s="9">
        <v>50523</v>
      </c>
      <c r="O38" s="9">
        <v>55794</v>
      </c>
      <c r="P38" s="9">
        <v>57924</v>
      </c>
      <c r="Q38" s="9">
        <v>60550</v>
      </c>
      <c r="R38" s="9">
        <v>77634</v>
      </c>
      <c r="S38" s="9">
        <v>87757</v>
      </c>
      <c r="T38" s="9">
        <v>92309</v>
      </c>
      <c r="U38" s="9">
        <v>101532</v>
      </c>
      <c r="V38" s="9">
        <v>109818</v>
      </c>
      <c r="W38" s="9">
        <v>118495</v>
      </c>
      <c r="X38" s="9">
        <v>132373</v>
      </c>
      <c r="Y38" s="9">
        <v>152943</v>
      </c>
      <c r="Z38" s="9">
        <v>173276</v>
      </c>
      <c r="AA38" s="9">
        <v>177426</v>
      </c>
      <c r="AB38" s="9">
        <v>179578</v>
      </c>
      <c r="AC38" s="9">
        <v>203211</v>
      </c>
      <c r="AD38" s="9">
        <v>229278</v>
      </c>
      <c r="AE38" s="9">
        <v>258555</v>
      </c>
      <c r="AF38" s="9">
        <v>311512</v>
      </c>
      <c r="AG38" s="9">
        <v>305944</v>
      </c>
      <c r="AH38" s="9">
        <v>347600</v>
      </c>
      <c r="AI38" s="9">
        <v>363490</v>
      </c>
      <c r="AJ38" s="9">
        <v>377604</v>
      </c>
      <c r="AK38" s="9">
        <v>406842</v>
      </c>
      <c r="AL38" s="9">
        <v>392920</v>
      </c>
      <c r="AM38" s="9">
        <v>372519</v>
      </c>
      <c r="AN38" s="9">
        <v>386139</v>
      </c>
      <c r="AO38" s="9">
        <v>391932</v>
      </c>
      <c r="AP38" s="9">
        <v>392264</v>
      </c>
      <c r="AQ38" s="9">
        <v>395777</v>
      </c>
      <c r="AR38" s="10">
        <v>357339</v>
      </c>
      <c r="AS38" s="11">
        <v>398416</v>
      </c>
      <c r="AT38" s="11">
        <v>433000</v>
      </c>
      <c r="AU38" s="12">
        <v>478305</v>
      </c>
      <c r="AV38" s="12">
        <v>497583</v>
      </c>
      <c r="AW38" s="11">
        <v>544769</v>
      </c>
      <c r="AX38" s="11">
        <v>563281</v>
      </c>
      <c r="AY38" s="12">
        <v>566856</v>
      </c>
      <c r="AZ38" s="12">
        <v>616674</v>
      </c>
      <c r="BA38" s="12">
        <v>728864</v>
      </c>
      <c r="BB38" s="12">
        <v>947815</v>
      </c>
      <c r="BC38" s="12">
        <v>807251</v>
      </c>
      <c r="BD38" s="12">
        <v>629841</v>
      </c>
      <c r="BE38" s="13">
        <v>638929</v>
      </c>
      <c r="BF38" s="13">
        <v>747224</v>
      </c>
      <c r="BG38" s="13">
        <v>780905</v>
      </c>
      <c r="BH38" s="13">
        <v>841118</v>
      </c>
      <c r="BI38" s="14">
        <v>907061.51199999999</v>
      </c>
      <c r="BJ38" s="13">
        <v>730465.5680000002</v>
      </c>
      <c r="BK38" s="13">
        <v>777552.527</v>
      </c>
      <c r="BL38" s="13">
        <v>790148.65700000012</v>
      </c>
      <c r="BM38" s="15">
        <v>816781.01300000004</v>
      </c>
      <c r="BN38" s="15">
        <v>871121</v>
      </c>
      <c r="BO38" s="36">
        <v>877727</v>
      </c>
      <c r="BP38" s="36">
        <v>864089</v>
      </c>
      <c r="BQ38" s="39">
        <v>887342</v>
      </c>
      <c r="BR38" s="39">
        <v>973041</v>
      </c>
      <c r="BS38" s="50">
        <v>945059</v>
      </c>
      <c r="BT38" s="50">
        <v>932354</v>
      </c>
      <c r="BU38" s="50">
        <v>904179</v>
      </c>
      <c r="BV38" s="50">
        <v>962981</v>
      </c>
    </row>
    <row r="39" spans="1:74" ht="9.25" customHeight="1">
      <c r="A39" s="16" t="s">
        <v>102</v>
      </c>
      <c r="B39" s="17">
        <v>10180</v>
      </c>
      <c r="C39" s="17">
        <v>13004</v>
      </c>
      <c r="D39" s="17">
        <v>17231</v>
      </c>
      <c r="E39" s="17">
        <v>19073</v>
      </c>
      <c r="F39" s="17">
        <v>20089</v>
      </c>
      <c r="G39" s="17">
        <v>18831</v>
      </c>
      <c r="H39" s="17">
        <v>22953</v>
      </c>
      <c r="I39" s="17">
        <v>22818</v>
      </c>
      <c r="J39" s="17">
        <v>34268</v>
      </c>
      <c r="K39" s="17">
        <v>38376</v>
      </c>
      <c r="L39" s="17">
        <v>46729</v>
      </c>
      <c r="M39" s="17">
        <v>48559</v>
      </c>
      <c r="N39" s="17">
        <v>49159</v>
      </c>
      <c r="O39" s="17">
        <v>55991</v>
      </c>
      <c r="P39" s="17">
        <v>60885</v>
      </c>
      <c r="Q39" s="17">
        <v>64020</v>
      </c>
      <c r="R39" s="17">
        <v>70663</v>
      </c>
      <c r="S39" s="17">
        <v>76541</v>
      </c>
      <c r="T39" s="17">
        <v>80694</v>
      </c>
      <c r="U39" s="17">
        <v>90979</v>
      </c>
      <c r="V39" s="17">
        <v>105752</v>
      </c>
      <c r="W39" s="17">
        <v>108898</v>
      </c>
      <c r="X39" s="17">
        <v>122320</v>
      </c>
      <c r="Y39" s="17">
        <v>137024</v>
      </c>
      <c r="Z39" s="17">
        <v>176506</v>
      </c>
      <c r="AA39" s="17">
        <v>154006</v>
      </c>
      <c r="AB39" s="17">
        <v>174332</v>
      </c>
      <c r="AC39" s="17">
        <v>173864</v>
      </c>
      <c r="AD39" s="17">
        <v>209090</v>
      </c>
      <c r="AE39" s="17">
        <v>233938</v>
      </c>
      <c r="AF39" s="17">
        <v>237729</v>
      </c>
      <c r="AG39" s="17">
        <v>243414</v>
      </c>
      <c r="AH39" s="17">
        <v>234187</v>
      </c>
      <c r="AI39" s="17">
        <v>235582</v>
      </c>
      <c r="AJ39" s="17">
        <v>265156</v>
      </c>
      <c r="AK39" s="17">
        <v>226372</v>
      </c>
      <c r="AL39" s="17">
        <v>248956</v>
      </c>
      <c r="AM39" s="17">
        <v>249851</v>
      </c>
      <c r="AN39" s="17">
        <v>272393</v>
      </c>
      <c r="AO39" s="17">
        <v>306271</v>
      </c>
      <c r="AP39" s="17">
        <v>315535</v>
      </c>
      <c r="AQ39" s="17">
        <v>338950</v>
      </c>
      <c r="AR39" s="18">
        <v>337344</v>
      </c>
      <c r="AS39" s="19">
        <v>333093</v>
      </c>
      <c r="AT39" s="19">
        <v>349075</v>
      </c>
      <c r="AU39" s="20">
        <v>340521</v>
      </c>
      <c r="AV39" s="20">
        <v>356019</v>
      </c>
      <c r="AW39" s="19">
        <v>388688</v>
      </c>
      <c r="AX39" s="19">
        <v>400714</v>
      </c>
      <c r="AY39" s="20">
        <v>421482</v>
      </c>
      <c r="AZ39" s="20">
        <v>430694</v>
      </c>
      <c r="BA39" s="20">
        <v>424263</v>
      </c>
      <c r="BB39" s="20">
        <v>416246</v>
      </c>
      <c r="BC39" s="20">
        <v>460128</v>
      </c>
      <c r="BD39" s="20">
        <v>492154</v>
      </c>
      <c r="BE39" s="21">
        <v>524735</v>
      </c>
      <c r="BF39" s="21">
        <v>538320</v>
      </c>
      <c r="BG39" s="21">
        <v>546936</v>
      </c>
      <c r="BH39" s="21">
        <v>563925</v>
      </c>
      <c r="BI39" s="22">
        <v>540253.80199999991</v>
      </c>
      <c r="BJ39" s="21">
        <v>502709.23999999993</v>
      </c>
      <c r="BK39" s="21">
        <v>518080.02999999997</v>
      </c>
      <c r="BL39" s="21">
        <v>519213.95499999996</v>
      </c>
      <c r="BM39" s="23">
        <v>513431.57100000005</v>
      </c>
      <c r="BN39" s="23">
        <v>522774</v>
      </c>
      <c r="BO39" s="37">
        <v>527830</v>
      </c>
      <c r="BP39" s="37">
        <v>548509</v>
      </c>
      <c r="BQ39" s="40">
        <v>565570</v>
      </c>
      <c r="BR39" s="40">
        <v>582029</v>
      </c>
      <c r="BS39" s="53">
        <v>597908</v>
      </c>
      <c r="BT39" s="53">
        <v>574017</v>
      </c>
      <c r="BU39" s="53">
        <v>608856</v>
      </c>
      <c r="BV39" s="53">
        <v>651040</v>
      </c>
    </row>
    <row r="40" spans="1:74" ht="9.25" customHeight="1">
      <c r="A40" s="16" t="s">
        <v>35</v>
      </c>
      <c r="B40" s="17">
        <v>9117</v>
      </c>
      <c r="C40" s="17">
        <v>11578</v>
      </c>
      <c r="D40" s="17">
        <v>15895</v>
      </c>
      <c r="E40" s="17">
        <v>21303</v>
      </c>
      <c r="F40" s="17">
        <v>25601</v>
      </c>
      <c r="G40" s="17">
        <v>26800</v>
      </c>
      <c r="H40" s="17">
        <v>35794</v>
      </c>
      <c r="I40" s="17">
        <v>49987</v>
      </c>
      <c r="J40" s="17">
        <v>72123</v>
      </c>
      <c r="K40" s="17">
        <v>79495</v>
      </c>
      <c r="L40" s="17">
        <v>105611</v>
      </c>
      <c r="M40" s="17">
        <v>130446</v>
      </c>
      <c r="N40" s="17">
        <v>141761</v>
      </c>
      <c r="O40" s="17">
        <v>156774</v>
      </c>
      <c r="P40" s="17">
        <v>174695</v>
      </c>
      <c r="Q40" s="17">
        <v>200436</v>
      </c>
      <c r="R40" s="17">
        <v>238627</v>
      </c>
      <c r="S40" s="17">
        <v>282517</v>
      </c>
      <c r="T40" s="17">
        <v>314414</v>
      </c>
      <c r="U40" s="17">
        <v>355076</v>
      </c>
      <c r="V40" s="17">
        <v>393623</v>
      </c>
      <c r="W40" s="17">
        <v>424068</v>
      </c>
      <c r="X40" s="17">
        <v>459739</v>
      </c>
      <c r="Y40" s="17">
        <v>540816</v>
      </c>
      <c r="Z40" s="17">
        <v>597890</v>
      </c>
      <c r="AA40" s="17">
        <v>628472</v>
      </c>
      <c r="AB40" s="17">
        <v>582600</v>
      </c>
      <c r="AC40" s="17">
        <v>641844</v>
      </c>
      <c r="AD40" s="17">
        <v>683566</v>
      </c>
      <c r="AE40" s="17">
        <v>758641</v>
      </c>
      <c r="AF40" s="17">
        <v>752646</v>
      </c>
      <c r="AG40" s="17">
        <v>705190</v>
      </c>
      <c r="AH40" s="17">
        <v>706256</v>
      </c>
      <c r="AI40" s="17">
        <v>661961</v>
      </c>
      <c r="AJ40" s="17">
        <v>703802</v>
      </c>
      <c r="AK40" s="17">
        <v>755078</v>
      </c>
      <c r="AL40" s="17">
        <v>785510</v>
      </c>
      <c r="AM40" s="17">
        <v>827298</v>
      </c>
      <c r="AN40" s="17">
        <v>880262</v>
      </c>
      <c r="AO40" s="17">
        <v>940113</v>
      </c>
      <c r="AP40" s="17">
        <v>926706</v>
      </c>
      <c r="AQ40" s="17">
        <v>931630</v>
      </c>
      <c r="AR40" s="18">
        <v>944766</v>
      </c>
      <c r="AS40" s="19">
        <v>991763</v>
      </c>
      <c r="AT40" s="19">
        <v>1092489</v>
      </c>
      <c r="AU40" s="20">
        <v>1155819</v>
      </c>
      <c r="AV40" s="20">
        <v>1201696</v>
      </c>
      <c r="AW40" s="19">
        <v>1169284</v>
      </c>
      <c r="AX40" s="19">
        <v>1241113</v>
      </c>
      <c r="AY40" s="20">
        <v>1284877</v>
      </c>
      <c r="AZ40" s="20">
        <v>1353117</v>
      </c>
      <c r="BA40" s="20">
        <v>1375265</v>
      </c>
      <c r="BB40" s="20">
        <v>1386766</v>
      </c>
      <c r="BC40" s="20">
        <v>1375493</v>
      </c>
      <c r="BD40" s="20">
        <v>1390407</v>
      </c>
      <c r="BE40" s="21">
        <v>1453121</v>
      </c>
      <c r="BF40" s="21">
        <v>1577819</v>
      </c>
      <c r="BG40" s="21">
        <v>1603146</v>
      </c>
      <c r="BH40" s="21">
        <v>1565445</v>
      </c>
      <c r="BI40" s="22">
        <v>1505544.4939999997</v>
      </c>
      <c r="BJ40" s="21">
        <v>1407281.8710000003</v>
      </c>
      <c r="BK40" s="21">
        <v>1500590.23</v>
      </c>
      <c r="BL40" s="21">
        <v>1541544.74</v>
      </c>
      <c r="BM40" s="23">
        <v>1530058.6679999998</v>
      </c>
      <c r="BN40" s="23">
        <v>1548170</v>
      </c>
      <c r="BO40" s="37">
        <v>1591890</v>
      </c>
      <c r="BP40" s="37">
        <v>1548917</v>
      </c>
      <c r="BQ40" s="40">
        <v>1492768</v>
      </c>
      <c r="BR40" s="40">
        <v>1538691</v>
      </c>
      <c r="BS40" s="51">
        <v>1500326</v>
      </c>
      <c r="BT40" s="51">
        <v>1564703</v>
      </c>
      <c r="BU40" s="51">
        <v>1475953</v>
      </c>
      <c r="BV40" s="51">
        <v>1591463</v>
      </c>
    </row>
    <row r="41" spans="1:74" ht="9.25" customHeight="1">
      <c r="A41" s="26" t="s">
        <v>36</v>
      </c>
      <c r="B41" s="27">
        <v>1744</v>
      </c>
      <c r="C41" s="27">
        <v>1861</v>
      </c>
      <c r="D41" s="27">
        <v>1952</v>
      </c>
      <c r="E41" s="27">
        <v>1987</v>
      </c>
      <c r="F41" s="27">
        <v>2413</v>
      </c>
      <c r="G41" s="27">
        <v>3176</v>
      </c>
      <c r="H41" s="27">
        <v>3266</v>
      </c>
      <c r="I41" s="27">
        <v>3600</v>
      </c>
      <c r="J41" s="27">
        <v>4095</v>
      </c>
      <c r="K41" s="27">
        <v>4484</v>
      </c>
      <c r="L41" s="27">
        <v>5438</v>
      </c>
      <c r="M41" s="27">
        <v>6963</v>
      </c>
      <c r="N41" s="27">
        <v>7419</v>
      </c>
      <c r="O41" s="27">
        <v>7050</v>
      </c>
      <c r="P41" s="27">
        <v>8468</v>
      </c>
      <c r="Q41" s="27">
        <v>9487</v>
      </c>
      <c r="R41" s="27">
        <v>11404</v>
      </c>
      <c r="S41" s="27">
        <v>13483</v>
      </c>
      <c r="T41" s="27">
        <v>15616</v>
      </c>
      <c r="U41" s="27">
        <v>18139</v>
      </c>
      <c r="V41" s="27">
        <v>18358</v>
      </c>
      <c r="W41" s="27">
        <v>18224</v>
      </c>
      <c r="X41" s="27">
        <v>20801</v>
      </c>
      <c r="Y41" s="27">
        <v>23800</v>
      </c>
      <c r="Z41" s="27">
        <v>24527</v>
      </c>
      <c r="AA41" s="27">
        <v>23602</v>
      </c>
      <c r="AB41" s="27">
        <v>19967</v>
      </c>
      <c r="AC41" s="27">
        <v>20505</v>
      </c>
      <c r="AD41" s="27">
        <v>19416</v>
      </c>
      <c r="AE41" s="27">
        <v>22734</v>
      </c>
      <c r="AF41" s="27">
        <v>23661</v>
      </c>
      <c r="AG41" s="27">
        <v>27187</v>
      </c>
      <c r="AH41" s="27">
        <v>26895</v>
      </c>
      <c r="AI41" s="27">
        <v>29268</v>
      </c>
      <c r="AJ41" s="27">
        <v>30385</v>
      </c>
      <c r="AK41" s="27">
        <v>33265</v>
      </c>
      <c r="AL41" s="27">
        <v>32688</v>
      </c>
      <c r="AM41" s="27">
        <v>45531</v>
      </c>
      <c r="AN41" s="27">
        <v>56125</v>
      </c>
      <c r="AO41" s="27">
        <v>44138</v>
      </c>
      <c r="AP41" s="27">
        <v>53421</v>
      </c>
      <c r="AQ41" s="27">
        <v>40827</v>
      </c>
      <c r="AR41" s="28">
        <v>37801</v>
      </c>
      <c r="AS41" s="29">
        <v>39935</v>
      </c>
      <c r="AT41" s="29">
        <v>38353</v>
      </c>
      <c r="AU41" s="30">
        <v>42183</v>
      </c>
      <c r="AV41" s="30">
        <v>44471</v>
      </c>
      <c r="AW41" s="29">
        <v>44659</v>
      </c>
      <c r="AX41" s="29">
        <v>43640</v>
      </c>
      <c r="AY41" s="30">
        <v>49007</v>
      </c>
      <c r="AZ41" s="30">
        <v>55844</v>
      </c>
      <c r="BA41" s="30">
        <v>54317</v>
      </c>
      <c r="BB41" s="30">
        <v>55091</v>
      </c>
      <c r="BC41" s="30">
        <v>55033</v>
      </c>
      <c r="BD41" s="30">
        <v>55033</v>
      </c>
      <c r="BE41" s="31">
        <v>58288</v>
      </c>
      <c r="BF41" s="31">
        <v>58288</v>
      </c>
      <c r="BG41" s="31">
        <v>57676</v>
      </c>
      <c r="BH41" s="31">
        <v>62590</v>
      </c>
      <c r="BI41" s="32">
        <v>58718.675999999999</v>
      </c>
      <c r="BJ41" s="31">
        <v>56173.043000000005</v>
      </c>
      <c r="BK41" s="31">
        <v>62574.516000000003</v>
      </c>
      <c r="BL41" s="31">
        <v>61908.525000000001</v>
      </c>
      <c r="BM41" s="33">
        <v>57533.460999999996</v>
      </c>
      <c r="BN41" s="33">
        <v>59817</v>
      </c>
      <c r="BO41" s="38">
        <v>73474</v>
      </c>
      <c r="BP41" s="38">
        <v>67430</v>
      </c>
      <c r="BQ41" s="41">
        <v>54683</v>
      </c>
      <c r="BR41" s="41">
        <v>63057</v>
      </c>
      <c r="BS41" s="52">
        <v>64881</v>
      </c>
      <c r="BT41" s="52">
        <v>70603</v>
      </c>
      <c r="BU41" s="52">
        <v>62747</v>
      </c>
      <c r="BV41" s="52">
        <v>76847</v>
      </c>
    </row>
    <row r="42" spans="1:74" ht="9.25" customHeight="1">
      <c r="A42" s="16" t="s">
        <v>37</v>
      </c>
      <c r="B42" s="17">
        <v>1368</v>
      </c>
      <c r="C42" s="17">
        <v>2731</v>
      </c>
      <c r="D42" s="17">
        <v>4335</v>
      </c>
      <c r="E42" s="17">
        <v>6935</v>
      </c>
      <c r="F42" s="17">
        <v>8400</v>
      </c>
      <c r="G42" s="17">
        <v>9319</v>
      </c>
      <c r="H42" s="17">
        <v>10220</v>
      </c>
      <c r="I42" s="17">
        <v>17170</v>
      </c>
      <c r="J42" s="17">
        <v>18215</v>
      </c>
      <c r="K42" s="17">
        <v>20786</v>
      </c>
      <c r="L42" s="17">
        <v>24318</v>
      </c>
      <c r="M42" s="17">
        <v>27882</v>
      </c>
      <c r="N42" s="17">
        <v>30924</v>
      </c>
      <c r="O42" s="17">
        <v>34902</v>
      </c>
      <c r="P42" s="17">
        <v>39362</v>
      </c>
      <c r="Q42" s="17">
        <v>45561</v>
      </c>
      <c r="R42" s="17">
        <v>52644</v>
      </c>
      <c r="S42" s="17">
        <v>57261</v>
      </c>
      <c r="T42" s="17">
        <v>66176</v>
      </c>
      <c r="U42" s="17">
        <v>75935</v>
      </c>
      <c r="V42" s="17">
        <v>83961</v>
      </c>
      <c r="W42" s="17">
        <v>93661</v>
      </c>
      <c r="X42" s="17">
        <v>105985</v>
      </c>
      <c r="Y42" s="17">
        <v>124834</v>
      </c>
      <c r="Z42" s="17">
        <v>147397</v>
      </c>
      <c r="AA42" s="17">
        <v>147454</v>
      </c>
      <c r="AB42" s="17">
        <v>147029</v>
      </c>
      <c r="AC42" s="17">
        <v>165332</v>
      </c>
      <c r="AD42" s="17">
        <v>172575</v>
      </c>
      <c r="AE42" s="17">
        <v>187821</v>
      </c>
      <c r="AF42" s="17">
        <v>237791</v>
      </c>
      <c r="AG42" s="17">
        <v>228847</v>
      </c>
      <c r="AH42" s="17">
        <v>242398</v>
      </c>
      <c r="AI42" s="17">
        <v>244796</v>
      </c>
      <c r="AJ42" s="17">
        <v>266897</v>
      </c>
      <c r="AK42" s="17">
        <v>299577</v>
      </c>
      <c r="AL42" s="17">
        <v>299048</v>
      </c>
      <c r="AM42" s="17">
        <v>331059</v>
      </c>
      <c r="AN42" s="17">
        <v>317115</v>
      </c>
      <c r="AO42" s="17">
        <v>314356</v>
      </c>
      <c r="AP42" s="17">
        <v>407991</v>
      </c>
      <c r="AQ42" s="17">
        <v>422625</v>
      </c>
      <c r="AR42" s="18">
        <v>352299</v>
      </c>
      <c r="AS42" s="19">
        <v>388843</v>
      </c>
      <c r="AT42" s="19">
        <v>410025</v>
      </c>
      <c r="AU42" s="20">
        <v>524395</v>
      </c>
      <c r="AV42" s="20">
        <v>463625</v>
      </c>
      <c r="AW42" s="19">
        <v>461218</v>
      </c>
      <c r="AX42" s="19">
        <v>487417</v>
      </c>
      <c r="AY42" s="20">
        <v>566191</v>
      </c>
      <c r="AZ42" s="20">
        <v>594622</v>
      </c>
      <c r="BA42" s="20">
        <v>620260</v>
      </c>
      <c r="BB42" s="20">
        <v>620752</v>
      </c>
      <c r="BC42" s="20">
        <v>622805</v>
      </c>
      <c r="BD42" s="20">
        <v>630410</v>
      </c>
      <c r="BE42" s="21">
        <v>710120</v>
      </c>
      <c r="BF42" s="21">
        <v>696022</v>
      </c>
      <c r="BG42" s="21">
        <v>707354</v>
      </c>
      <c r="BH42" s="21">
        <v>729583</v>
      </c>
      <c r="BI42" s="22">
        <v>677961.31499999994</v>
      </c>
      <c r="BJ42" s="21">
        <v>642771.66799999983</v>
      </c>
      <c r="BK42" s="21">
        <v>661786.52</v>
      </c>
      <c r="BL42" s="21">
        <v>727235.36600000004</v>
      </c>
      <c r="BM42" s="23">
        <v>662552.86599999992</v>
      </c>
      <c r="BN42" s="23">
        <v>768986</v>
      </c>
      <c r="BO42" s="37">
        <v>683321</v>
      </c>
      <c r="BP42" s="37">
        <v>761505.13</v>
      </c>
      <c r="BQ42" s="40">
        <v>844048</v>
      </c>
      <c r="BR42" s="40">
        <v>851693</v>
      </c>
      <c r="BS42" s="50">
        <v>837517</v>
      </c>
      <c r="BT42" s="50">
        <v>882310</v>
      </c>
      <c r="BU42" s="50">
        <v>850358</v>
      </c>
      <c r="BV42" s="50">
        <v>934160</v>
      </c>
    </row>
    <row r="43" spans="1:74" ht="9.25" customHeight="1">
      <c r="A43" s="16" t="s">
        <v>38</v>
      </c>
      <c r="B43" s="17">
        <v>3401</v>
      </c>
      <c r="C43" s="17">
        <v>3594</v>
      </c>
      <c r="D43" s="17">
        <v>3841</v>
      </c>
      <c r="E43" s="17">
        <v>2893</v>
      </c>
      <c r="F43" s="17">
        <v>2987</v>
      </c>
      <c r="G43" s="17">
        <v>2654</v>
      </c>
      <c r="H43" s="17">
        <v>6043</v>
      </c>
      <c r="I43" s="17">
        <v>6671</v>
      </c>
      <c r="J43" s="17">
        <v>7535</v>
      </c>
      <c r="K43" s="17">
        <v>9441</v>
      </c>
      <c r="L43" s="17">
        <v>11299</v>
      </c>
      <c r="M43" s="17">
        <v>12318</v>
      </c>
      <c r="N43" s="17">
        <v>15606</v>
      </c>
      <c r="O43" s="17">
        <v>15836</v>
      </c>
      <c r="P43" s="17">
        <v>18603</v>
      </c>
      <c r="Q43" s="17">
        <v>20617</v>
      </c>
      <c r="R43" s="17">
        <v>20094</v>
      </c>
      <c r="S43" s="17">
        <v>20506</v>
      </c>
      <c r="T43" s="17">
        <v>21450</v>
      </c>
      <c r="U43" s="17">
        <v>23395</v>
      </c>
      <c r="V43" s="17">
        <v>27417</v>
      </c>
      <c r="W43" s="17">
        <v>30522</v>
      </c>
      <c r="X43" s="17">
        <v>34152</v>
      </c>
      <c r="Y43" s="17">
        <v>37689</v>
      </c>
      <c r="Z43" s="17">
        <v>49014</v>
      </c>
      <c r="AA43" s="17">
        <v>47096</v>
      </c>
      <c r="AB43" s="17">
        <v>46358</v>
      </c>
      <c r="AC43" s="17">
        <v>50790</v>
      </c>
      <c r="AD43" s="17">
        <v>54370</v>
      </c>
      <c r="AE43" s="17">
        <v>60505</v>
      </c>
      <c r="AF43" s="17">
        <v>77441</v>
      </c>
      <c r="AG43" s="17">
        <v>73557</v>
      </c>
      <c r="AH43" s="17">
        <v>77352</v>
      </c>
      <c r="AI43" s="17">
        <v>83465</v>
      </c>
      <c r="AJ43" s="17">
        <v>89289</v>
      </c>
      <c r="AK43" s="17">
        <v>99055</v>
      </c>
      <c r="AL43" s="17">
        <v>98404</v>
      </c>
      <c r="AM43" s="17">
        <v>93517</v>
      </c>
      <c r="AN43" s="17">
        <v>92769</v>
      </c>
      <c r="AO43" s="17">
        <v>95672</v>
      </c>
      <c r="AP43" s="17">
        <v>93766</v>
      </c>
      <c r="AQ43" s="17">
        <v>100902</v>
      </c>
      <c r="AR43" s="18">
        <v>102041</v>
      </c>
      <c r="AS43" s="19">
        <v>106726</v>
      </c>
      <c r="AT43" s="19">
        <v>114506</v>
      </c>
      <c r="AU43" s="20">
        <v>137398</v>
      </c>
      <c r="AV43" s="20">
        <v>137564</v>
      </c>
      <c r="AW43" s="19">
        <v>143039</v>
      </c>
      <c r="AX43" s="19">
        <v>141647</v>
      </c>
      <c r="AY43" s="20">
        <v>142903</v>
      </c>
      <c r="AZ43" s="20">
        <v>146292</v>
      </c>
      <c r="BA43" s="20">
        <v>147131</v>
      </c>
      <c r="BB43" s="20">
        <v>149671</v>
      </c>
      <c r="BC43" s="20">
        <v>158867</v>
      </c>
      <c r="BD43" s="20">
        <v>166675</v>
      </c>
      <c r="BE43" s="21">
        <v>176387</v>
      </c>
      <c r="BF43" s="21">
        <v>186913</v>
      </c>
      <c r="BG43" s="21">
        <v>191906</v>
      </c>
      <c r="BH43" s="21">
        <v>211545</v>
      </c>
      <c r="BI43" s="22">
        <v>205692.40900000004</v>
      </c>
      <c r="BJ43" s="21">
        <v>199605.51599999995</v>
      </c>
      <c r="BK43" s="21">
        <v>208181.432</v>
      </c>
      <c r="BL43" s="21">
        <v>208165.929</v>
      </c>
      <c r="BM43" s="23">
        <v>228318.35</v>
      </c>
      <c r="BN43" s="23">
        <v>218075</v>
      </c>
      <c r="BO43" s="37">
        <v>230563</v>
      </c>
      <c r="BP43" s="37">
        <v>231283</v>
      </c>
      <c r="BQ43" s="40">
        <v>231457</v>
      </c>
      <c r="BR43" s="40">
        <v>237163</v>
      </c>
      <c r="BS43" s="51">
        <v>237857</v>
      </c>
      <c r="BT43" s="51">
        <v>240057</v>
      </c>
      <c r="BU43" s="51">
        <v>250481</v>
      </c>
      <c r="BV43" s="51">
        <v>262643</v>
      </c>
    </row>
    <row r="44" spans="1:74" ht="9.25" customHeight="1">
      <c r="A44" s="16" t="s">
        <v>39</v>
      </c>
      <c r="B44" s="17">
        <v>3143</v>
      </c>
      <c r="C44" s="17">
        <v>4367</v>
      </c>
      <c r="D44" s="17">
        <v>5477</v>
      </c>
      <c r="E44" s="17">
        <v>6473</v>
      </c>
      <c r="F44" s="17">
        <v>8362</v>
      </c>
      <c r="G44" s="17">
        <v>10098</v>
      </c>
      <c r="H44" s="17">
        <v>15504</v>
      </c>
      <c r="I44" s="17">
        <v>23543</v>
      </c>
      <c r="J44" s="17">
        <v>29974</v>
      </c>
      <c r="K44" s="17">
        <v>35886</v>
      </c>
      <c r="L44" s="17">
        <v>43912</v>
      </c>
      <c r="M44" s="17">
        <v>50411</v>
      </c>
      <c r="N44" s="17">
        <v>54536</v>
      </c>
      <c r="O44" s="17">
        <v>60808</v>
      </c>
      <c r="P44" s="17">
        <v>69570</v>
      </c>
      <c r="Q44" s="17">
        <v>71272</v>
      </c>
      <c r="R44" s="17">
        <v>82799</v>
      </c>
      <c r="S44" s="17">
        <v>96213</v>
      </c>
      <c r="T44" s="17">
        <v>106874</v>
      </c>
      <c r="U44" s="17">
        <v>127940</v>
      </c>
      <c r="V44" s="17">
        <v>147079</v>
      </c>
      <c r="W44" s="17">
        <v>162817</v>
      </c>
      <c r="X44" s="17">
        <v>192748</v>
      </c>
      <c r="Y44" s="17">
        <v>227468</v>
      </c>
      <c r="Z44" s="17">
        <v>262660</v>
      </c>
      <c r="AA44" s="17">
        <v>265905</v>
      </c>
      <c r="AB44" s="17">
        <v>264097</v>
      </c>
      <c r="AC44" s="17">
        <v>304991</v>
      </c>
      <c r="AD44" s="17">
        <v>344495</v>
      </c>
      <c r="AE44" s="17">
        <v>381398</v>
      </c>
      <c r="AF44" s="17">
        <v>394468</v>
      </c>
      <c r="AG44" s="17">
        <v>383751</v>
      </c>
      <c r="AH44" s="17">
        <v>420017</v>
      </c>
      <c r="AI44" s="17">
        <v>412448</v>
      </c>
      <c r="AJ44" s="17">
        <v>466539</v>
      </c>
      <c r="AK44" s="17">
        <v>510624</v>
      </c>
      <c r="AL44" s="17">
        <v>517455</v>
      </c>
      <c r="AM44" s="17">
        <v>530445</v>
      </c>
      <c r="AN44" s="17">
        <v>565029</v>
      </c>
      <c r="AO44" s="17">
        <v>581703</v>
      </c>
      <c r="AP44" s="17">
        <v>590190</v>
      </c>
      <c r="AQ44" s="17">
        <v>607875</v>
      </c>
      <c r="AR44" s="18">
        <v>577968</v>
      </c>
      <c r="AS44" s="19">
        <v>599877</v>
      </c>
      <c r="AT44" s="19">
        <v>648223</v>
      </c>
      <c r="AU44" s="20">
        <v>678423</v>
      </c>
      <c r="AV44" s="20">
        <v>730080</v>
      </c>
      <c r="AW44" s="19">
        <v>755828</v>
      </c>
      <c r="AX44" s="19">
        <v>778068</v>
      </c>
      <c r="AY44" s="20">
        <v>822845</v>
      </c>
      <c r="AZ44" s="20">
        <v>861463</v>
      </c>
      <c r="BA44" s="20">
        <v>890704</v>
      </c>
      <c r="BB44" s="20">
        <v>868540</v>
      </c>
      <c r="BC44" s="20">
        <v>904786</v>
      </c>
      <c r="BD44" s="20">
        <v>967835</v>
      </c>
      <c r="BE44" s="21">
        <v>991476</v>
      </c>
      <c r="BF44" s="21">
        <v>1053439</v>
      </c>
      <c r="BG44" s="21">
        <v>1040979</v>
      </c>
      <c r="BH44" s="21">
        <v>1062419</v>
      </c>
      <c r="BI44" s="22">
        <v>1002931.107</v>
      </c>
      <c r="BJ44" s="21">
        <v>826562.32900000014</v>
      </c>
      <c r="BK44" s="21">
        <v>892254.26099999994</v>
      </c>
      <c r="BL44" s="21">
        <v>895239.8</v>
      </c>
      <c r="BM44" s="23">
        <v>882947.12300000002</v>
      </c>
      <c r="BN44" s="23">
        <v>885570</v>
      </c>
      <c r="BO44" s="37">
        <v>929240</v>
      </c>
      <c r="BP44" s="37">
        <v>979997</v>
      </c>
      <c r="BQ44" s="40">
        <v>969256</v>
      </c>
      <c r="BR44" s="40">
        <v>993626</v>
      </c>
      <c r="BS44" s="51">
        <v>1032616</v>
      </c>
      <c r="BT44" s="51">
        <v>1130885</v>
      </c>
      <c r="BU44" s="51">
        <v>1056371</v>
      </c>
      <c r="BV44" s="51">
        <v>1152489</v>
      </c>
    </row>
    <row r="45" spans="1:74" ht="9.25" customHeight="1">
      <c r="A45" s="16" t="s">
        <v>40</v>
      </c>
      <c r="B45" s="17">
        <v>12442</v>
      </c>
      <c r="C45" s="17">
        <v>18130</v>
      </c>
      <c r="D45" s="17">
        <v>30942</v>
      </c>
      <c r="E45" s="17">
        <v>49649</v>
      </c>
      <c r="F45" s="17">
        <v>56755</v>
      </c>
      <c r="G45" s="17">
        <v>65582</v>
      </c>
      <c r="H45" s="17">
        <v>80809</v>
      </c>
      <c r="I45" s="17">
        <v>105607</v>
      </c>
      <c r="J45" s="17">
        <v>125813</v>
      </c>
      <c r="K45" s="17">
        <v>143260</v>
      </c>
      <c r="L45" s="17">
        <v>166974</v>
      </c>
      <c r="M45" s="17">
        <v>181206</v>
      </c>
      <c r="N45" s="17">
        <v>195059</v>
      </c>
      <c r="O45" s="17">
        <v>201833</v>
      </c>
      <c r="P45" s="17">
        <v>216090</v>
      </c>
      <c r="Q45" s="17">
        <v>249024</v>
      </c>
      <c r="R45" s="17">
        <v>280622</v>
      </c>
      <c r="S45" s="17">
        <v>320411</v>
      </c>
      <c r="T45" s="17">
        <v>351698</v>
      </c>
      <c r="U45" s="17">
        <v>395419</v>
      </c>
      <c r="V45" s="17">
        <v>417805</v>
      </c>
      <c r="W45" s="17">
        <v>453027</v>
      </c>
      <c r="X45" s="17">
        <v>522833</v>
      </c>
      <c r="Y45" s="17">
        <v>596365</v>
      </c>
      <c r="Z45" s="17">
        <v>709054</v>
      </c>
      <c r="AA45" s="17">
        <v>707446</v>
      </c>
      <c r="AB45" s="17">
        <v>745337</v>
      </c>
      <c r="AC45" s="17">
        <v>829051</v>
      </c>
      <c r="AD45" s="17">
        <v>930602</v>
      </c>
      <c r="AE45" s="17">
        <v>1075580</v>
      </c>
      <c r="AF45" s="17">
        <v>1225555</v>
      </c>
      <c r="AG45" s="17">
        <v>1199933</v>
      </c>
      <c r="AH45" s="17">
        <v>1411971</v>
      </c>
      <c r="AI45" s="17">
        <v>1466586</v>
      </c>
      <c r="AJ45" s="17">
        <v>1519958</v>
      </c>
      <c r="AK45" s="17">
        <v>1577178</v>
      </c>
      <c r="AL45" s="17">
        <v>1638986</v>
      </c>
      <c r="AM45" s="17">
        <v>1516255</v>
      </c>
      <c r="AN45" s="17">
        <v>1405164</v>
      </c>
      <c r="AO45" s="17">
        <v>1346285</v>
      </c>
      <c r="AP45" s="17">
        <v>1430561</v>
      </c>
      <c r="AQ45" s="17">
        <v>1426255</v>
      </c>
      <c r="AR45" s="18">
        <v>1572102</v>
      </c>
      <c r="AS45" s="19">
        <v>1634543</v>
      </c>
      <c r="AT45" s="19">
        <v>1705512</v>
      </c>
      <c r="AU45" s="20">
        <v>1941324</v>
      </c>
      <c r="AV45" s="20">
        <v>1966615</v>
      </c>
      <c r="AW45" s="19">
        <v>2167149</v>
      </c>
      <c r="AX45" s="19">
        <v>2273633</v>
      </c>
      <c r="AY45" s="20">
        <v>2456309</v>
      </c>
      <c r="AZ45" s="20">
        <v>2579169</v>
      </c>
      <c r="BA45" s="20">
        <v>2824792</v>
      </c>
      <c r="BB45" s="20">
        <v>2990263</v>
      </c>
      <c r="BC45" s="20">
        <v>3125264</v>
      </c>
      <c r="BD45" s="20">
        <v>3323109</v>
      </c>
      <c r="BE45" s="21">
        <v>3479579</v>
      </c>
      <c r="BF45" s="21">
        <v>3673568</v>
      </c>
      <c r="BG45" s="21">
        <v>4053917</v>
      </c>
      <c r="BH45" s="21">
        <v>4313359</v>
      </c>
      <c r="BI45" s="22">
        <v>4327429.9419999998</v>
      </c>
      <c r="BJ45" s="21">
        <v>3744339.3589999992</v>
      </c>
      <c r="BK45" s="21">
        <v>3926485.8870000001</v>
      </c>
      <c r="BL45" s="21">
        <v>4208400.193</v>
      </c>
      <c r="BM45" s="23">
        <v>4437816.8679999998</v>
      </c>
      <c r="BN45" s="23">
        <v>4741110</v>
      </c>
      <c r="BO45" s="37">
        <v>5295548</v>
      </c>
      <c r="BP45" s="37">
        <v>5214849</v>
      </c>
      <c r="BQ45" s="40">
        <v>5329829</v>
      </c>
      <c r="BR45" s="40">
        <v>5588720</v>
      </c>
      <c r="BS45" s="52">
        <v>5854781</v>
      </c>
      <c r="BT45" s="52">
        <v>5982285</v>
      </c>
      <c r="BU45" s="52">
        <v>5411859</v>
      </c>
      <c r="BV45" s="52">
        <v>5958479</v>
      </c>
    </row>
    <row r="46" spans="1:74" ht="8.9" customHeight="1">
      <c r="A46" s="8" t="s">
        <v>41</v>
      </c>
      <c r="B46" s="9">
        <v>6205</v>
      </c>
      <c r="C46" s="9">
        <v>7798</v>
      </c>
      <c r="D46" s="9">
        <v>9863</v>
      </c>
      <c r="E46" s="9">
        <v>12554</v>
      </c>
      <c r="F46" s="9">
        <v>13829</v>
      </c>
      <c r="G46" s="9">
        <v>15254</v>
      </c>
      <c r="H46" s="9">
        <v>17542</v>
      </c>
      <c r="I46" s="9">
        <v>21761</v>
      </c>
      <c r="J46" s="9">
        <v>25140</v>
      </c>
      <c r="K46" s="9">
        <v>26544</v>
      </c>
      <c r="L46" s="9">
        <v>27024</v>
      </c>
      <c r="M46" s="9">
        <v>27465</v>
      </c>
      <c r="N46" s="9">
        <v>28726</v>
      </c>
      <c r="O46" s="9">
        <v>31205</v>
      </c>
      <c r="P46" s="9">
        <v>30909</v>
      </c>
      <c r="Q46" s="9">
        <v>33267</v>
      </c>
      <c r="R46" s="9">
        <v>34441</v>
      </c>
      <c r="S46" s="9">
        <v>36915</v>
      </c>
      <c r="T46" s="9">
        <v>39330</v>
      </c>
      <c r="U46" s="9">
        <v>43785</v>
      </c>
      <c r="V46" s="9">
        <v>46769</v>
      </c>
      <c r="W46" s="9">
        <v>49461</v>
      </c>
      <c r="X46" s="9">
        <v>50439</v>
      </c>
      <c r="Y46" s="9">
        <v>60979</v>
      </c>
      <c r="Z46" s="9">
        <v>72204</v>
      </c>
      <c r="AA46" s="9">
        <v>73071</v>
      </c>
      <c r="AB46" s="9">
        <v>73899</v>
      </c>
      <c r="AC46" s="9">
        <v>79479</v>
      </c>
      <c r="AD46" s="9">
        <v>88150</v>
      </c>
      <c r="AE46" s="9">
        <v>90466</v>
      </c>
      <c r="AF46" s="9">
        <v>107978</v>
      </c>
      <c r="AG46" s="9">
        <v>111133</v>
      </c>
      <c r="AH46" s="9">
        <v>118877</v>
      </c>
      <c r="AI46" s="9">
        <v>114182</v>
      </c>
      <c r="AJ46" s="9">
        <v>117802</v>
      </c>
      <c r="AK46" s="9">
        <v>134241</v>
      </c>
      <c r="AL46" s="9">
        <v>135095</v>
      </c>
      <c r="AM46" s="9">
        <v>142313</v>
      </c>
      <c r="AN46" s="9">
        <v>142664</v>
      </c>
      <c r="AO46" s="9">
        <v>151026</v>
      </c>
      <c r="AP46" s="9">
        <v>161940</v>
      </c>
      <c r="AQ46" s="9">
        <v>180927</v>
      </c>
      <c r="AR46" s="10">
        <v>172201</v>
      </c>
      <c r="AS46" s="11">
        <v>181825</v>
      </c>
      <c r="AT46" s="11">
        <v>191093</v>
      </c>
      <c r="AU46" s="12">
        <v>211373</v>
      </c>
      <c r="AV46" s="12">
        <v>260059</v>
      </c>
      <c r="AW46" s="11">
        <v>256810</v>
      </c>
      <c r="AX46" s="11">
        <v>295045</v>
      </c>
      <c r="AY46" s="12">
        <v>305162</v>
      </c>
      <c r="AZ46" s="12">
        <v>301493</v>
      </c>
      <c r="BA46" s="12">
        <v>338576</v>
      </c>
      <c r="BB46" s="12">
        <v>337898</v>
      </c>
      <c r="BC46" s="12">
        <v>354812</v>
      </c>
      <c r="BD46" s="12">
        <v>352288</v>
      </c>
      <c r="BE46" s="13">
        <v>367644</v>
      </c>
      <c r="BF46" s="13">
        <v>393790</v>
      </c>
      <c r="BG46" s="13">
        <v>503317</v>
      </c>
      <c r="BH46" s="13">
        <v>492839</v>
      </c>
      <c r="BI46" s="14">
        <v>452787.66700000002</v>
      </c>
      <c r="BJ46" s="13">
        <v>410539.29699999996</v>
      </c>
      <c r="BK46" s="13">
        <v>412611.69299999997</v>
      </c>
      <c r="BL46" s="13">
        <v>485580.00100000005</v>
      </c>
      <c r="BM46" s="15">
        <v>474412.603</v>
      </c>
      <c r="BN46" s="15">
        <v>478575</v>
      </c>
      <c r="BO46" s="36">
        <v>455006</v>
      </c>
      <c r="BP46" s="36">
        <v>466299</v>
      </c>
      <c r="BQ46" s="39">
        <v>474173</v>
      </c>
      <c r="BR46" s="39">
        <v>500418</v>
      </c>
      <c r="BS46" s="50">
        <v>491761</v>
      </c>
      <c r="BT46" s="50">
        <v>483312</v>
      </c>
      <c r="BU46" s="50">
        <v>529191</v>
      </c>
      <c r="BV46" s="50">
        <v>533416</v>
      </c>
    </row>
    <row r="47" spans="1:74" ht="8.9" customHeight="1">
      <c r="A47" s="16" t="s">
        <v>42</v>
      </c>
      <c r="B47" s="17">
        <v>359</v>
      </c>
      <c r="C47" s="17">
        <v>469</v>
      </c>
      <c r="D47" s="17">
        <v>584</v>
      </c>
      <c r="E47" s="17">
        <v>722</v>
      </c>
      <c r="F47" s="17">
        <v>870</v>
      </c>
      <c r="G47" s="17">
        <v>998</v>
      </c>
      <c r="H47" s="17">
        <v>1156</v>
      </c>
      <c r="I47" s="17">
        <v>1303</v>
      </c>
      <c r="J47" s="17">
        <v>1446</v>
      </c>
      <c r="K47" s="17">
        <v>1597</v>
      </c>
      <c r="L47" s="17">
        <v>1891</v>
      </c>
      <c r="M47" s="17">
        <v>2082</v>
      </c>
      <c r="N47" s="17">
        <v>2158</v>
      </c>
      <c r="O47" s="17">
        <v>2315</v>
      </c>
      <c r="P47" s="17">
        <v>2586</v>
      </c>
      <c r="Q47" s="17">
        <v>3292</v>
      </c>
      <c r="R47" s="17">
        <v>3884</v>
      </c>
      <c r="S47" s="17">
        <v>4639</v>
      </c>
      <c r="T47" s="17">
        <v>5163</v>
      </c>
      <c r="U47" s="17">
        <v>5924</v>
      </c>
      <c r="V47" s="17">
        <v>6311</v>
      </c>
      <c r="W47" s="17">
        <v>12043</v>
      </c>
      <c r="X47" s="17">
        <v>14386</v>
      </c>
      <c r="Y47" s="17">
        <v>15177</v>
      </c>
      <c r="Z47" s="17">
        <v>18865</v>
      </c>
      <c r="AA47" s="17">
        <v>20167</v>
      </c>
      <c r="AB47" s="17">
        <v>21135</v>
      </c>
      <c r="AC47" s="17">
        <v>22255</v>
      </c>
      <c r="AD47" s="17">
        <v>34584</v>
      </c>
      <c r="AE47" s="17">
        <v>26768</v>
      </c>
      <c r="AF47" s="17">
        <v>31375</v>
      </c>
      <c r="AG47" s="17">
        <v>29771</v>
      </c>
      <c r="AH47" s="17">
        <v>32418</v>
      </c>
      <c r="AI47" s="17">
        <v>15030</v>
      </c>
      <c r="AJ47" s="17">
        <v>29111</v>
      </c>
      <c r="AK47" s="17">
        <v>35187</v>
      </c>
      <c r="AL47" s="17">
        <v>36453</v>
      </c>
      <c r="AM47" s="17">
        <v>36164</v>
      </c>
      <c r="AN47" s="17">
        <v>44249</v>
      </c>
      <c r="AO47" s="17">
        <v>46048</v>
      </c>
      <c r="AP47" s="17">
        <v>46744</v>
      </c>
      <c r="AQ47" s="17">
        <v>41851</v>
      </c>
      <c r="AR47" s="18">
        <v>47822</v>
      </c>
      <c r="AS47" s="19">
        <v>59821</v>
      </c>
      <c r="AT47" s="19">
        <v>70570</v>
      </c>
      <c r="AU47" s="20">
        <v>73961</v>
      </c>
      <c r="AV47" s="20">
        <v>86840</v>
      </c>
      <c r="AW47" s="19">
        <v>96108</v>
      </c>
      <c r="AX47" s="19">
        <v>77861</v>
      </c>
      <c r="AY47" s="20">
        <v>77033</v>
      </c>
      <c r="AZ47" s="20">
        <v>58101</v>
      </c>
      <c r="BA47" s="20">
        <v>53153</v>
      </c>
      <c r="BB47" s="20">
        <v>70375</v>
      </c>
      <c r="BC47" s="20">
        <v>64429</v>
      </c>
      <c r="BD47" s="20">
        <v>67057</v>
      </c>
      <c r="BE47" s="21">
        <v>62222</v>
      </c>
      <c r="BF47" s="21">
        <v>62935</v>
      </c>
      <c r="BG47" s="21">
        <v>66400</v>
      </c>
      <c r="BH47" s="21">
        <v>65828</v>
      </c>
      <c r="BI47" s="22">
        <v>61074.569000000003</v>
      </c>
      <c r="BJ47" s="21">
        <v>54378.426999999989</v>
      </c>
      <c r="BK47" s="21">
        <v>59163.609000000011</v>
      </c>
      <c r="BL47" s="21">
        <v>58773.805999999997</v>
      </c>
      <c r="BM47" s="23">
        <v>59989.771000000008</v>
      </c>
      <c r="BN47" s="23">
        <v>59999</v>
      </c>
      <c r="BO47" s="37">
        <v>58354</v>
      </c>
      <c r="BP47" s="37">
        <v>66110</v>
      </c>
      <c r="BQ47" s="40">
        <v>71834</v>
      </c>
      <c r="BR47" s="40">
        <v>71457</v>
      </c>
      <c r="BS47" s="51">
        <v>72796</v>
      </c>
      <c r="BT47" s="51">
        <v>71598</v>
      </c>
      <c r="BU47" s="51">
        <v>64128</v>
      </c>
      <c r="BV47" s="51">
        <v>63560</v>
      </c>
    </row>
    <row r="48" spans="1:74" ht="8.9" customHeight="1">
      <c r="A48" s="16" t="s">
        <v>43</v>
      </c>
      <c r="B48" s="17">
        <v>6072</v>
      </c>
      <c r="C48" s="17">
        <v>9204</v>
      </c>
      <c r="D48" s="17">
        <v>15010</v>
      </c>
      <c r="E48" s="17">
        <v>20418</v>
      </c>
      <c r="F48" s="17">
        <v>20597</v>
      </c>
      <c r="G48" s="17">
        <v>23123</v>
      </c>
      <c r="H48" s="17">
        <v>32064</v>
      </c>
      <c r="I48" s="17">
        <v>40951</v>
      </c>
      <c r="J48" s="17">
        <v>52857</v>
      </c>
      <c r="K48" s="17">
        <v>62742</v>
      </c>
      <c r="L48" s="17">
        <v>78556</v>
      </c>
      <c r="M48" s="17">
        <v>88488</v>
      </c>
      <c r="N48" s="17">
        <v>101463</v>
      </c>
      <c r="O48" s="17">
        <v>94792</v>
      </c>
      <c r="P48" s="17">
        <v>103939</v>
      </c>
      <c r="Q48" s="17">
        <v>113012</v>
      </c>
      <c r="R48" s="17">
        <v>126016</v>
      </c>
      <c r="S48" s="17">
        <v>137792</v>
      </c>
      <c r="T48" s="17">
        <v>149203</v>
      </c>
      <c r="U48" s="17">
        <v>165440</v>
      </c>
      <c r="V48" s="17">
        <v>181930</v>
      </c>
      <c r="W48" s="17">
        <v>193803</v>
      </c>
      <c r="X48" s="17">
        <v>215540</v>
      </c>
      <c r="Y48" s="17">
        <v>238027</v>
      </c>
      <c r="Z48" s="17">
        <v>259321</v>
      </c>
      <c r="AA48" s="17">
        <v>251240</v>
      </c>
      <c r="AB48" s="17">
        <v>242428</v>
      </c>
      <c r="AC48" s="17">
        <v>267800</v>
      </c>
      <c r="AD48" s="17">
        <v>290224</v>
      </c>
      <c r="AE48" s="17">
        <v>315507</v>
      </c>
      <c r="AF48" s="17">
        <v>330353</v>
      </c>
      <c r="AG48" s="17">
        <v>318037</v>
      </c>
      <c r="AH48" s="17">
        <v>389319</v>
      </c>
      <c r="AI48" s="17">
        <v>381193</v>
      </c>
      <c r="AJ48" s="17">
        <v>410079</v>
      </c>
      <c r="AK48" s="17">
        <v>438878</v>
      </c>
      <c r="AL48" s="17">
        <v>484446</v>
      </c>
      <c r="AM48" s="17">
        <v>509553</v>
      </c>
      <c r="AN48" s="17">
        <v>540553</v>
      </c>
      <c r="AO48" s="17">
        <v>576017</v>
      </c>
      <c r="AP48" s="17">
        <v>576651</v>
      </c>
      <c r="AQ48" s="17">
        <v>546921</v>
      </c>
      <c r="AR48" s="18">
        <v>553794</v>
      </c>
      <c r="AS48" s="19">
        <v>592653</v>
      </c>
      <c r="AT48" s="19">
        <v>629573</v>
      </c>
      <c r="AU48" s="20">
        <v>682156</v>
      </c>
      <c r="AV48" s="20">
        <v>690946</v>
      </c>
      <c r="AW48" s="19">
        <v>760663</v>
      </c>
      <c r="AX48" s="19">
        <v>836583</v>
      </c>
      <c r="AY48" s="20">
        <v>898041</v>
      </c>
      <c r="AZ48" s="20">
        <v>955500</v>
      </c>
      <c r="BA48" s="20">
        <v>995582</v>
      </c>
      <c r="BB48" s="20">
        <v>939508</v>
      </c>
      <c r="BC48" s="20">
        <v>936201</v>
      </c>
      <c r="BD48" s="20">
        <v>1017912</v>
      </c>
      <c r="BE48" s="21">
        <v>1117189</v>
      </c>
      <c r="BF48" s="21">
        <v>1093680</v>
      </c>
      <c r="BG48" s="21">
        <v>1104316</v>
      </c>
      <c r="BH48" s="21">
        <v>1131864</v>
      </c>
      <c r="BI48" s="22">
        <v>1037504.2200000001</v>
      </c>
      <c r="BJ48" s="21">
        <v>959891.11600000004</v>
      </c>
      <c r="BK48" s="21">
        <v>1001112.345</v>
      </c>
      <c r="BL48" s="21">
        <v>946661.41099999996</v>
      </c>
      <c r="BM48" s="23">
        <v>1003684.48</v>
      </c>
      <c r="BN48" s="23">
        <v>1004678</v>
      </c>
      <c r="BO48" s="37">
        <v>1015403</v>
      </c>
      <c r="BP48" s="37">
        <v>1012511</v>
      </c>
      <c r="BQ48" s="40">
        <v>1043522</v>
      </c>
      <c r="BR48" s="40">
        <v>1050072</v>
      </c>
      <c r="BS48" s="51">
        <v>1043447</v>
      </c>
      <c r="BT48" s="51">
        <v>1043447</v>
      </c>
      <c r="BU48" s="51">
        <v>1132225</v>
      </c>
      <c r="BV48" s="51">
        <v>1189305</v>
      </c>
    </row>
    <row r="49" spans="1:74" ht="9.25" customHeight="1">
      <c r="A49" s="26" t="s">
        <v>44</v>
      </c>
      <c r="B49" s="27">
        <v>11913</v>
      </c>
      <c r="C49" s="27">
        <v>15075</v>
      </c>
      <c r="D49" s="27">
        <v>18263</v>
      </c>
      <c r="E49" s="27">
        <v>20416</v>
      </c>
      <c r="F49" s="27">
        <v>22680</v>
      </c>
      <c r="G49" s="27">
        <v>24041</v>
      </c>
      <c r="H49" s="27">
        <v>27400</v>
      </c>
      <c r="I49" s="27">
        <v>29838</v>
      </c>
      <c r="J49" s="27">
        <v>32290</v>
      </c>
      <c r="K49" s="27">
        <v>33187</v>
      </c>
      <c r="L49" s="27">
        <v>39406</v>
      </c>
      <c r="M49" s="27">
        <v>40940</v>
      </c>
      <c r="N49" s="27">
        <v>43140</v>
      </c>
      <c r="O49" s="27">
        <v>44929</v>
      </c>
      <c r="P49" s="27">
        <v>47997</v>
      </c>
      <c r="Q49" s="27">
        <v>52699</v>
      </c>
      <c r="R49" s="27">
        <v>61594</v>
      </c>
      <c r="S49" s="27">
        <v>67791</v>
      </c>
      <c r="T49" s="27">
        <v>74922</v>
      </c>
      <c r="U49" s="27">
        <v>86195</v>
      </c>
      <c r="V49" s="27">
        <v>92603</v>
      </c>
      <c r="W49" s="27">
        <v>97794</v>
      </c>
      <c r="X49" s="27">
        <v>105227</v>
      </c>
      <c r="Y49" s="27">
        <v>120597</v>
      </c>
      <c r="Z49" s="27">
        <v>145913</v>
      </c>
      <c r="AA49" s="27">
        <v>144161</v>
      </c>
      <c r="AB49" s="27">
        <v>146356</v>
      </c>
      <c r="AC49" s="27">
        <v>179778</v>
      </c>
      <c r="AD49" s="27">
        <v>184463</v>
      </c>
      <c r="AE49" s="27">
        <v>208356</v>
      </c>
      <c r="AF49" s="27">
        <v>242791</v>
      </c>
      <c r="AG49" s="27">
        <v>235020</v>
      </c>
      <c r="AH49" s="27">
        <v>226888</v>
      </c>
      <c r="AI49" s="27">
        <v>225623</v>
      </c>
      <c r="AJ49" s="27">
        <v>259178</v>
      </c>
      <c r="AK49" s="27">
        <v>251134</v>
      </c>
      <c r="AL49" s="27">
        <v>283258</v>
      </c>
      <c r="AM49" s="27">
        <v>327113</v>
      </c>
      <c r="AN49" s="27">
        <v>309356</v>
      </c>
      <c r="AO49" s="27">
        <v>343926</v>
      </c>
      <c r="AP49" s="27">
        <v>364654</v>
      </c>
      <c r="AQ49" s="27">
        <v>363028</v>
      </c>
      <c r="AR49" s="28">
        <v>361775</v>
      </c>
      <c r="AS49" s="29">
        <v>385237</v>
      </c>
      <c r="AT49" s="29">
        <v>352731</v>
      </c>
      <c r="AU49" s="30">
        <v>465280</v>
      </c>
      <c r="AV49" s="30">
        <v>466779</v>
      </c>
      <c r="AW49" s="29">
        <v>482289</v>
      </c>
      <c r="AX49" s="29">
        <v>469389</v>
      </c>
      <c r="AY49" s="30">
        <v>431973</v>
      </c>
      <c r="AZ49" s="30">
        <v>571177</v>
      </c>
      <c r="BA49" s="30">
        <v>565695</v>
      </c>
      <c r="BB49" s="30">
        <v>545133</v>
      </c>
      <c r="BC49" s="30">
        <v>572271</v>
      </c>
      <c r="BD49" s="30">
        <v>583824</v>
      </c>
      <c r="BE49" s="31">
        <v>628696</v>
      </c>
      <c r="BF49" s="31">
        <v>637457</v>
      </c>
      <c r="BG49" s="31">
        <v>704820</v>
      </c>
      <c r="BH49" s="31">
        <v>712423</v>
      </c>
      <c r="BI49" s="32">
        <v>661408.7209999999</v>
      </c>
      <c r="BJ49" s="31">
        <v>600804.36600000004</v>
      </c>
      <c r="BK49" s="31">
        <v>629631</v>
      </c>
      <c r="BL49" s="31">
        <v>619106.1050000001</v>
      </c>
      <c r="BM49" s="33">
        <v>615876.13100000005</v>
      </c>
      <c r="BN49" s="33">
        <v>656084</v>
      </c>
      <c r="BO49" s="38">
        <v>664882</v>
      </c>
      <c r="BP49" s="38">
        <v>683440</v>
      </c>
      <c r="BQ49" s="41">
        <v>682035</v>
      </c>
      <c r="BR49" s="41">
        <v>714987</v>
      </c>
      <c r="BS49" s="52">
        <v>739029</v>
      </c>
      <c r="BT49" s="52">
        <v>736027</v>
      </c>
      <c r="BU49" s="52">
        <v>696640</v>
      </c>
      <c r="BV49" s="52">
        <v>758687</v>
      </c>
    </row>
    <row r="50" spans="1:74" ht="9.25" customHeight="1">
      <c r="A50" s="16" t="s">
        <v>45</v>
      </c>
      <c r="B50" s="17">
        <v>21589</v>
      </c>
      <c r="C50" s="17">
        <v>24358</v>
      </c>
      <c r="D50" s="17">
        <v>26910</v>
      </c>
      <c r="E50" s="17">
        <v>5841</v>
      </c>
      <c r="F50" s="17">
        <v>10022</v>
      </c>
      <c r="G50" s="17">
        <v>11522</v>
      </c>
      <c r="H50" s="17">
        <v>9467</v>
      </c>
      <c r="I50" s="17">
        <v>14692</v>
      </c>
      <c r="J50" s="17">
        <v>16948</v>
      </c>
      <c r="K50" s="17">
        <v>16086</v>
      </c>
      <c r="L50" s="17">
        <v>23610</v>
      </c>
      <c r="M50" s="17">
        <v>25016</v>
      </c>
      <c r="N50" s="17">
        <v>31260</v>
      </c>
      <c r="O50" s="17">
        <v>37202</v>
      </c>
      <c r="P50" s="17">
        <v>31093</v>
      </c>
      <c r="Q50" s="17">
        <v>36840</v>
      </c>
      <c r="R50" s="17">
        <v>47407</v>
      </c>
      <c r="S50" s="17">
        <v>53193</v>
      </c>
      <c r="T50" s="17">
        <v>54143</v>
      </c>
      <c r="U50" s="17">
        <v>58405</v>
      </c>
      <c r="V50" s="17">
        <v>64262</v>
      </c>
      <c r="W50" s="17">
        <v>79699</v>
      </c>
      <c r="X50" s="17">
        <v>88353</v>
      </c>
      <c r="Y50" s="17">
        <v>92661</v>
      </c>
      <c r="Z50" s="17">
        <v>106128</v>
      </c>
      <c r="AA50" s="17">
        <v>85609</v>
      </c>
      <c r="AB50" s="17">
        <v>92947</v>
      </c>
      <c r="AC50" s="17">
        <v>80301</v>
      </c>
      <c r="AD50" s="17">
        <v>82375</v>
      </c>
      <c r="AE50" s="17">
        <v>104357</v>
      </c>
      <c r="AF50" s="17">
        <v>98567</v>
      </c>
      <c r="AG50" s="17">
        <v>123976</v>
      </c>
      <c r="AH50" s="17">
        <v>119000</v>
      </c>
      <c r="AI50" s="17">
        <v>101354</v>
      </c>
      <c r="AJ50" s="17">
        <v>116434</v>
      </c>
      <c r="AK50" s="17">
        <v>124609</v>
      </c>
      <c r="AL50" s="17">
        <v>122651</v>
      </c>
      <c r="AM50" s="17">
        <v>132794</v>
      </c>
      <c r="AN50" s="17">
        <v>150131</v>
      </c>
      <c r="AO50" s="17">
        <v>188075</v>
      </c>
      <c r="AP50" s="17">
        <v>180513</v>
      </c>
      <c r="AQ50" s="17">
        <v>192826</v>
      </c>
      <c r="AR50" s="18">
        <v>176447</v>
      </c>
      <c r="AS50" s="19">
        <v>198771</v>
      </c>
      <c r="AT50" s="19">
        <v>212624</v>
      </c>
      <c r="AU50" s="20">
        <v>212587</v>
      </c>
      <c r="AV50" s="20">
        <v>221935</v>
      </c>
      <c r="AW50" s="19">
        <v>170305</v>
      </c>
      <c r="AX50" s="19">
        <v>253146</v>
      </c>
      <c r="AY50" s="20">
        <v>275096</v>
      </c>
      <c r="AZ50" s="20">
        <v>279860</v>
      </c>
      <c r="BA50" s="20">
        <v>281350</v>
      </c>
      <c r="BB50" s="20">
        <v>271622</v>
      </c>
      <c r="BC50" s="20">
        <v>269958</v>
      </c>
      <c r="BD50" s="20">
        <v>270820</v>
      </c>
      <c r="BE50" s="21">
        <v>294776</v>
      </c>
      <c r="BF50" s="21">
        <v>296645</v>
      </c>
      <c r="BG50" s="21">
        <v>295008</v>
      </c>
      <c r="BH50" s="21">
        <v>294671</v>
      </c>
      <c r="BI50" s="22">
        <v>287133.72199999995</v>
      </c>
      <c r="BJ50" s="21">
        <v>272179.46100000001</v>
      </c>
      <c r="BK50" s="21">
        <v>288595.50599999994</v>
      </c>
      <c r="BL50" s="21">
        <v>283645.15700000001</v>
      </c>
      <c r="BM50" s="23">
        <v>294785.804</v>
      </c>
      <c r="BN50" s="23">
        <v>287130</v>
      </c>
      <c r="BO50" s="37">
        <v>273510</v>
      </c>
      <c r="BP50" s="37">
        <v>320119</v>
      </c>
      <c r="BQ50" s="40">
        <v>286337</v>
      </c>
      <c r="BR50" s="40">
        <v>400740</v>
      </c>
      <c r="BS50" s="51">
        <v>508187</v>
      </c>
      <c r="BT50" s="51">
        <v>508187</v>
      </c>
      <c r="BU50" s="51">
        <v>394861</v>
      </c>
      <c r="BV50" s="51">
        <v>501856</v>
      </c>
    </row>
    <row r="51" spans="1:74" ht="9.25" customHeight="1">
      <c r="A51" s="16" t="s">
        <v>46</v>
      </c>
      <c r="B51" s="17">
        <v>14942</v>
      </c>
      <c r="C51" s="17">
        <v>16122</v>
      </c>
      <c r="D51" s="17">
        <v>17396</v>
      </c>
      <c r="E51" s="17">
        <v>18770</v>
      </c>
      <c r="F51" s="17">
        <v>20253</v>
      </c>
      <c r="G51" s="17">
        <v>21853</v>
      </c>
      <c r="H51" s="17">
        <v>20782</v>
      </c>
      <c r="I51" s="17">
        <v>18595</v>
      </c>
      <c r="J51" s="17">
        <v>20386</v>
      </c>
      <c r="K51" s="17">
        <v>23102</v>
      </c>
      <c r="L51" s="17">
        <v>28968</v>
      </c>
      <c r="M51" s="17">
        <v>34481</v>
      </c>
      <c r="N51" s="17">
        <v>37675</v>
      </c>
      <c r="O51" s="17">
        <v>44381</v>
      </c>
      <c r="P51" s="17">
        <v>50211</v>
      </c>
      <c r="Q51" s="17">
        <v>58004</v>
      </c>
      <c r="R51" s="17">
        <v>68482</v>
      </c>
      <c r="S51" s="17">
        <v>78481</v>
      </c>
      <c r="T51" s="17">
        <v>85919</v>
      </c>
      <c r="U51" s="17">
        <v>96947</v>
      </c>
      <c r="V51" s="17">
        <v>113765</v>
      </c>
      <c r="W51" s="17">
        <v>124823</v>
      </c>
      <c r="X51" s="17">
        <v>142394</v>
      </c>
      <c r="Y51" s="17">
        <v>163141</v>
      </c>
      <c r="Z51" s="17">
        <v>189625</v>
      </c>
      <c r="AA51" s="17">
        <v>201242</v>
      </c>
      <c r="AB51" s="17">
        <v>205131</v>
      </c>
      <c r="AC51" s="17">
        <v>239939</v>
      </c>
      <c r="AD51" s="17">
        <v>261254</v>
      </c>
      <c r="AE51" s="17">
        <v>288793</v>
      </c>
      <c r="AF51" s="17">
        <v>311708</v>
      </c>
      <c r="AG51" s="17">
        <v>304702</v>
      </c>
      <c r="AH51" s="17">
        <v>311465</v>
      </c>
      <c r="AI51" s="17">
        <v>305192</v>
      </c>
      <c r="AJ51" s="17">
        <v>331025</v>
      </c>
      <c r="AK51" s="17">
        <v>352423</v>
      </c>
      <c r="AL51" s="17">
        <v>356890</v>
      </c>
      <c r="AM51" s="17">
        <v>371485</v>
      </c>
      <c r="AN51" s="17">
        <v>389057</v>
      </c>
      <c r="AO51" s="17">
        <v>424294</v>
      </c>
      <c r="AP51" s="17">
        <v>432958</v>
      </c>
      <c r="AQ51" s="17">
        <v>443696</v>
      </c>
      <c r="AR51" s="18">
        <v>453746</v>
      </c>
      <c r="AS51" s="19">
        <v>489743</v>
      </c>
      <c r="AT51" s="19">
        <v>522632</v>
      </c>
      <c r="AU51" s="20">
        <v>565648</v>
      </c>
      <c r="AV51" s="20">
        <v>589910</v>
      </c>
      <c r="AW51" s="19">
        <v>601957</v>
      </c>
      <c r="AX51" s="19">
        <v>635116</v>
      </c>
      <c r="AY51" s="20">
        <v>670331</v>
      </c>
      <c r="AZ51" s="20">
        <v>677219</v>
      </c>
      <c r="BA51" s="20">
        <v>654337</v>
      </c>
      <c r="BB51" s="20">
        <v>671190</v>
      </c>
      <c r="BC51" s="20">
        <v>683627</v>
      </c>
      <c r="BD51" s="20">
        <v>676732</v>
      </c>
      <c r="BE51" s="21">
        <v>728606</v>
      </c>
      <c r="BF51" s="21">
        <v>704597</v>
      </c>
      <c r="BG51" s="21">
        <v>760507</v>
      </c>
      <c r="BH51" s="21">
        <v>762358</v>
      </c>
      <c r="BI51" s="22">
        <v>747031.46499999985</v>
      </c>
      <c r="BJ51" s="21">
        <v>667593.20600000012</v>
      </c>
      <c r="BK51" s="21">
        <v>715341.63</v>
      </c>
      <c r="BL51" s="21">
        <v>695491.05299999996</v>
      </c>
      <c r="BM51" s="23">
        <v>754157.65200000012</v>
      </c>
      <c r="BN51" s="23">
        <v>728305</v>
      </c>
      <c r="BO51" s="37">
        <v>802010</v>
      </c>
      <c r="BP51" s="37">
        <v>804858</v>
      </c>
      <c r="BQ51" s="40">
        <v>807973</v>
      </c>
      <c r="BR51" s="40">
        <v>803526</v>
      </c>
      <c r="BS51" s="51">
        <v>868636</v>
      </c>
      <c r="BT51" s="51">
        <v>863778</v>
      </c>
      <c r="BU51" s="51">
        <v>860325</v>
      </c>
      <c r="BV51" s="51">
        <v>921694</v>
      </c>
    </row>
    <row r="52" spans="1:74" ht="9.25" customHeight="1">
      <c r="A52" s="16" t="s">
        <v>47</v>
      </c>
      <c r="B52" s="17">
        <v>2573</v>
      </c>
      <c r="C52" s="17">
        <v>3547</v>
      </c>
      <c r="D52" s="17">
        <v>5437</v>
      </c>
      <c r="E52" s="17">
        <v>8027</v>
      </c>
      <c r="F52" s="17">
        <v>9359</v>
      </c>
      <c r="G52" s="17">
        <v>10927</v>
      </c>
      <c r="H52" s="17">
        <v>12387</v>
      </c>
      <c r="I52" s="17">
        <v>14363</v>
      </c>
      <c r="J52" s="17">
        <v>12772</v>
      </c>
      <c r="K52" s="17">
        <v>15522</v>
      </c>
      <c r="L52" s="17">
        <v>18395</v>
      </c>
      <c r="M52" s="17">
        <v>19922</v>
      </c>
      <c r="N52" s="17">
        <v>19877</v>
      </c>
      <c r="O52" s="17">
        <v>20991</v>
      </c>
      <c r="P52" s="17">
        <v>21231</v>
      </c>
      <c r="Q52" s="17">
        <v>23540</v>
      </c>
      <c r="R52" s="17">
        <v>24829</v>
      </c>
      <c r="S52" s="17">
        <v>28007</v>
      </c>
      <c r="T52" s="17">
        <v>30722</v>
      </c>
      <c r="U52" s="17">
        <v>34666</v>
      </c>
      <c r="V52" s="17">
        <v>36085</v>
      </c>
      <c r="W52" s="17">
        <v>40203</v>
      </c>
      <c r="X52" s="17">
        <v>40645</v>
      </c>
      <c r="Y52" s="17">
        <v>47065</v>
      </c>
      <c r="Z52" s="17">
        <v>53598</v>
      </c>
      <c r="AA52" s="17">
        <v>65366</v>
      </c>
      <c r="AB52" s="17">
        <v>64529</v>
      </c>
      <c r="AC52" s="17">
        <v>79963</v>
      </c>
      <c r="AD52" s="17">
        <v>85196</v>
      </c>
      <c r="AE52" s="17">
        <v>98329</v>
      </c>
      <c r="AF52" s="17">
        <v>93571</v>
      </c>
      <c r="AG52" s="17">
        <v>93962</v>
      </c>
      <c r="AH52" s="17">
        <v>109933</v>
      </c>
      <c r="AI52" s="17">
        <v>105709</v>
      </c>
      <c r="AJ52" s="17">
        <v>109160</v>
      </c>
      <c r="AK52" s="17">
        <v>115425</v>
      </c>
      <c r="AL52" s="17">
        <v>117932</v>
      </c>
      <c r="AM52" s="17">
        <v>133943</v>
      </c>
      <c r="AN52" s="17">
        <v>184259</v>
      </c>
      <c r="AO52" s="25">
        <v>153263</v>
      </c>
      <c r="AP52" s="17">
        <v>169822</v>
      </c>
      <c r="AQ52" s="17">
        <v>176724</v>
      </c>
      <c r="AR52" s="18">
        <v>158671</v>
      </c>
      <c r="AS52" s="19">
        <v>173984</v>
      </c>
      <c r="AT52" s="19">
        <v>207805</v>
      </c>
      <c r="AU52" s="20">
        <v>198821</v>
      </c>
      <c r="AV52" s="20">
        <v>214887</v>
      </c>
      <c r="AW52" s="19">
        <v>239167</v>
      </c>
      <c r="AX52" s="19">
        <v>260146</v>
      </c>
      <c r="AY52" s="20">
        <v>262113</v>
      </c>
      <c r="AZ52" s="20">
        <v>346310</v>
      </c>
      <c r="BA52" s="20">
        <v>272093</v>
      </c>
      <c r="BB52" s="20">
        <v>308553</v>
      </c>
      <c r="BC52" s="20">
        <v>304613</v>
      </c>
      <c r="BD52" s="20">
        <v>292808</v>
      </c>
      <c r="BE52" s="21">
        <v>339489</v>
      </c>
      <c r="BF52" s="21">
        <v>346054</v>
      </c>
      <c r="BG52" s="21">
        <v>360312</v>
      </c>
      <c r="BH52" s="21">
        <v>392283</v>
      </c>
      <c r="BI52" s="22">
        <v>389865.74799999996</v>
      </c>
      <c r="BJ52" s="21">
        <v>325629.52399999998</v>
      </c>
      <c r="BK52" s="21">
        <v>348428.96600000007</v>
      </c>
      <c r="BL52" s="21">
        <v>321932.859</v>
      </c>
      <c r="BM52" s="23">
        <v>363484.46799999999</v>
      </c>
      <c r="BN52" s="23">
        <v>368783</v>
      </c>
      <c r="BO52" s="37">
        <v>365932</v>
      </c>
      <c r="BP52" s="37">
        <v>350388</v>
      </c>
      <c r="BQ52" s="40">
        <v>338833</v>
      </c>
      <c r="BR52" s="40">
        <v>326837</v>
      </c>
      <c r="BS52" s="51">
        <v>355785</v>
      </c>
      <c r="BT52" s="51">
        <v>368810</v>
      </c>
      <c r="BU52" s="51">
        <v>351231</v>
      </c>
      <c r="BV52" s="51">
        <v>365138</v>
      </c>
    </row>
    <row r="53" spans="1:74" ht="9.5" customHeight="1" thickBot="1">
      <c r="A53" s="34" t="s">
        <v>48</v>
      </c>
      <c r="B53" s="42">
        <f>SUM(B2:B52)</f>
        <v>427354</v>
      </c>
      <c r="C53" s="42">
        <f>SUM(C2:C52)</f>
        <v>536923</v>
      </c>
      <c r="D53" s="42">
        <f>SUM(D2:D52)</f>
        <v>708093</v>
      </c>
      <c r="E53" s="42">
        <f>SUM(E2:E52)</f>
        <v>836511</v>
      </c>
      <c r="F53" s="42">
        <f t="shared" ref="F53:G53" si="0">SUM(F2:F52)</f>
        <v>940036</v>
      </c>
      <c r="G53" s="42">
        <f t="shared" si="0"/>
        <v>1047197</v>
      </c>
      <c r="H53" s="42">
        <f t="shared" ref="H53:P53" si="1">SUM(H2:H52)</f>
        <v>1204677</v>
      </c>
      <c r="I53" s="42">
        <f t="shared" si="1"/>
        <v>1410457</v>
      </c>
      <c r="J53" s="42">
        <f t="shared" si="1"/>
        <v>1636381</v>
      </c>
      <c r="K53" s="42">
        <f t="shared" si="1"/>
        <v>1856816</v>
      </c>
      <c r="L53" s="42">
        <f t="shared" si="1"/>
        <v>2232027</v>
      </c>
      <c r="M53" s="42">
        <f t="shared" si="1"/>
        <v>2451290</v>
      </c>
      <c r="N53" s="42">
        <f t="shared" si="1"/>
        <v>2698866</v>
      </c>
      <c r="O53" s="42">
        <f t="shared" si="1"/>
        <v>2948058</v>
      </c>
      <c r="P53" s="42">
        <f t="shared" si="1"/>
        <v>3241997</v>
      </c>
      <c r="Q53" s="42">
        <f t="shared" ref="Q53:V53" si="2">SUM(Q2:Q52)</f>
        <v>3632764</v>
      </c>
      <c r="R53" s="42">
        <f t="shared" si="2"/>
        <v>4125911</v>
      </c>
      <c r="S53" s="42">
        <f t="shared" si="2"/>
        <v>4691467</v>
      </c>
      <c r="T53" s="42">
        <f t="shared" si="2"/>
        <v>5049734</v>
      </c>
      <c r="U53" s="42">
        <f t="shared" si="2"/>
        <v>5690655</v>
      </c>
      <c r="V53" s="42">
        <f t="shared" si="2"/>
        <v>6330078</v>
      </c>
      <c r="W53" s="42">
        <f>+SUM(W2:W52)</f>
        <v>6730692</v>
      </c>
      <c r="X53" s="42">
        <f t="shared" ref="X53:AC53" si="3">+SUM(X2:X52)</f>
        <v>7573881</v>
      </c>
      <c r="Y53" s="42">
        <f t="shared" si="3"/>
        <v>8519440</v>
      </c>
      <c r="Z53" s="42">
        <f t="shared" si="3"/>
        <v>9836645</v>
      </c>
      <c r="AA53" s="42">
        <f t="shared" si="3"/>
        <v>9796249</v>
      </c>
      <c r="AB53" s="42">
        <f t="shared" si="3"/>
        <v>9630754</v>
      </c>
      <c r="AC53" s="42">
        <f t="shared" si="3"/>
        <v>10721927</v>
      </c>
      <c r="AD53" s="42">
        <f>SUM(AD2:AD52)</f>
        <v>11646885</v>
      </c>
      <c r="AE53" s="42">
        <f t="shared" ref="AE53:AI53" si="4">SUM(AE2:AE52)</f>
        <v>12828343</v>
      </c>
      <c r="AF53" s="42">
        <f t="shared" si="4"/>
        <v>13988938</v>
      </c>
      <c r="AG53" s="42">
        <f t="shared" si="4"/>
        <v>13776840</v>
      </c>
      <c r="AH53" s="42">
        <f t="shared" si="4"/>
        <v>14856304</v>
      </c>
      <c r="AI53" s="42">
        <f t="shared" si="4"/>
        <v>14904756</v>
      </c>
      <c r="AJ53" s="42">
        <f>SUM(AJ2:AJ52)</f>
        <v>15974732</v>
      </c>
      <c r="AK53" s="42">
        <f t="shared" ref="AK53:BD53" si="5">SUM(AK2:AK52)</f>
        <v>17271096</v>
      </c>
      <c r="AL53" s="42">
        <f t="shared" si="5"/>
        <v>17755849</v>
      </c>
      <c r="AM53" s="42">
        <f t="shared" si="5"/>
        <v>18427208</v>
      </c>
      <c r="AN53" s="42">
        <f t="shared" si="5"/>
        <v>19087899</v>
      </c>
      <c r="AO53" s="43">
        <f t="shared" si="5"/>
        <v>20095969</v>
      </c>
      <c r="AP53" s="43">
        <f>SUM(AP2:AP52)</f>
        <v>21274695</v>
      </c>
      <c r="AQ53" s="43">
        <f t="shared" ref="AQ53:AU53" si="6">SUM(AQ2:AQ52)</f>
        <v>21225689</v>
      </c>
      <c r="AR53" s="43">
        <f t="shared" si="6"/>
        <v>20649770</v>
      </c>
      <c r="AS53" s="43">
        <f t="shared" si="6"/>
        <v>21913180</v>
      </c>
      <c r="AT53" s="43">
        <f t="shared" si="6"/>
        <v>23593864</v>
      </c>
      <c r="AU53" s="43">
        <f t="shared" si="6"/>
        <v>25157457</v>
      </c>
      <c r="AV53" s="43">
        <f t="shared" si="5"/>
        <v>26207171</v>
      </c>
      <c r="AW53" s="43">
        <f t="shared" si="5"/>
        <v>27160482</v>
      </c>
      <c r="AX53" s="43">
        <f t="shared" si="5"/>
        <v>29394119</v>
      </c>
      <c r="AY53" s="43">
        <f t="shared" si="5"/>
        <v>30189888</v>
      </c>
      <c r="AZ53" s="43">
        <f t="shared" si="5"/>
        <v>31908492</v>
      </c>
      <c r="BA53" s="43">
        <f t="shared" si="5"/>
        <v>33376586</v>
      </c>
      <c r="BB53" s="43">
        <f t="shared" si="5"/>
        <v>33364801</v>
      </c>
      <c r="BC53" s="43">
        <f t="shared" si="5"/>
        <v>34775457</v>
      </c>
      <c r="BD53" s="43">
        <f t="shared" si="5"/>
        <v>35202137</v>
      </c>
      <c r="BE53" s="43">
        <f t="shared" ref="BE53" si="7">SUM(BE2:BE52)</f>
        <v>37354441</v>
      </c>
      <c r="BF53" s="43">
        <f t="shared" ref="BF53" si="8">SUM(BF2:BF52)</f>
        <v>39110963</v>
      </c>
      <c r="BG53" s="43">
        <f t="shared" ref="BG53" si="9">SUM(BG2:BG52)</f>
        <v>40094177</v>
      </c>
      <c r="BH53" s="43">
        <f t="shared" ref="BH53" si="10">SUM(BH2:BH52)</f>
        <v>40785107</v>
      </c>
      <c r="BI53" s="44">
        <f>SUM(BI2:BI52)</f>
        <v>38714326.272999994</v>
      </c>
      <c r="BJ53" s="45">
        <f t="shared" ref="BJ53:BL53" si="11">SUM(BJ2:BJ52)</f>
        <v>35293181.386</v>
      </c>
      <c r="BK53" s="46">
        <f t="shared" si="11"/>
        <v>36685289.001999989</v>
      </c>
      <c r="BL53" s="46">
        <f t="shared" si="11"/>
        <v>37177873.523999996</v>
      </c>
      <c r="BM53" s="47">
        <f t="shared" ref="BM53:BN53" si="12">SUM(BM2:BM52)</f>
        <v>37414652.823999994</v>
      </c>
      <c r="BN53" s="47">
        <f t="shared" si="12"/>
        <v>38352305</v>
      </c>
      <c r="BO53" s="48">
        <v>39710684</v>
      </c>
      <c r="BP53" s="48">
        <v>40621320.129999995</v>
      </c>
      <c r="BQ53" s="48">
        <v>41420207</v>
      </c>
      <c r="BR53" s="48">
        <v>42650439</v>
      </c>
      <c r="BS53" s="48">
        <f>SUM(BS2:BS52)</f>
        <v>42884194</v>
      </c>
      <c r="BT53" s="48">
        <v>43922308</v>
      </c>
      <c r="BU53" s="48">
        <v>41933460</v>
      </c>
      <c r="BV53" s="48">
        <v>45220997</v>
      </c>
    </row>
    <row r="54" spans="1:74" ht="6.5" customHeight="1">
      <c r="B54" s="70" t="s">
        <v>50</v>
      </c>
      <c r="C54" s="70"/>
      <c r="D54" s="70"/>
      <c r="E54" s="70"/>
      <c r="F54" s="70"/>
      <c r="G54" s="70"/>
      <c r="H54" s="70"/>
      <c r="I54" s="70"/>
      <c r="J54" s="70"/>
      <c r="K54" s="70"/>
      <c r="L54" s="70"/>
      <c r="M54" s="70"/>
      <c r="N54" s="70"/>
      <c r="O54" s="49"/>
      <c r="AB54" s="1"/>
      <c r="AC54" s="1"/>
      <c r="AD54" s="1"/>
      <c r="AE54" s="1"/>
      <c r="AF54" s="1"/>
      <c r="AG54" s="1"/>
      <c r="AH54" s="1"/>
      <c r="AI54" s="1"/>
      <c r="AJ54" s="1"/>
      <c r="AK54" s="1"/>
      <c r="AL54" s="1"/>
      <c r="AM54" s="1"/>
      <c r="AN54" s="1"/>
      <c r="BJ54" s="4"/>
      <c r="BK54" s="3"/>
      <c r="BL54" s="3"/>
      <c r="BM54" s="3"/>
      <c r="BN54" s="3"/>
      <c r="BO54" s="3"/>
      <c r="BP54" s="3"/>
    </row>
    <row r="55" spans="1:74" ht="10" customHeight="1">
      <c r="B55" s="71" t="s">
        <v>49</v>
      </c>
      <c r="C55" s="71"/>
      <c r="D55" s="71"/>
      <c r="E55" s="71"/>
      <c r="F55" s="71"/>
      <c r="G55" s="71"/>
      <c r="H55" s="71"/>
      <c r="I55" s="71"/>
      <c r="J55" s="71"/>
      <c r="K55" s="71"/>
      <c r="L55" s="71"/>
      <c r="M55" s="71"/>
      <c r="N55" s="71"/>
      <c r="BJ55" s="5"/>
      <c r="BK55" s="3"/>
      <c r="BL55" s="3"/>
      <c r="BM55" s="3"/>
      <c r="BN55" s="3"/>
      <c r="BO55" s="3"/>
      <c r="BP55" s="3"/>
    </row>
  </sheetData>
  <mergeCells count="2">
    <mergeCell ref="B54:N54"/>
    <mergeCell ref="B55:N55"/>
  </mergeCells>
  <pageMargins left="0.7" right="0.7" top="0.75" bottom="0.75" header="0.3" footer="0.3"/>
  <pageSetup orientation="landscape" r:id="rId1"/>
  <headerFooter>
    <oddHeader>&amp;C&amp;"Arial,Bold"&amp;9TABLE MF-225: PRIVATE AND COMMERCIAL HIGHWAY USE OF SPECIAL FUELS, BY STATE, 1949-2021&amp;10
&amp;"Arial,Regular"&amp;8 (THOUSANDS OF GALLONS)</oddHeader>
    <oddFooter>&amp;L&amp;"Arial,Bold"&amp;7MF-225&amp;R&amp;"Arial,Bold"&amp;7Page &amp;P</oddFooter>
  </headerFooter>
  <ignoredErrors>
    <ignoredError sqref="B53:BN53" formulaRange="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4F806E-29B0-44C5-AE15-20DE1AC83986}">
  <dimension ref="B1:I64"/>
  <sheetViews>
    <sheetView zoomScale="90" zoomScaleNormal="90" workbookViewId="0"/>
  </sheetViews>
  <sheetFormatPr defaultColWidth="9.1796875" defaultRowHeight="12.5"/>
  <cols>
    <col min="1" max="1" width="2" style="54" customWidth="1"/>
    <col min="2" max="2" width="15.26953125" style="54" customWidth="1"/>
    <col min="3" max="3" width="29.81640625" style="54" customWidth="1"/>
    <col min="4" max="9" width="9.1796875" style="54"/>
    <col min="10" max="10" width="7.1796875" style="54" customWidth="1"/>
    <col min="11" max="16384" width="9.1796875" style="54"/>
  </cols>
  <sheetData>
    <row r="1" spans="2:9" ht="9.75" customHeight="1"/>
    <row r="2" spans="2:9" ht="23.25" customHeight="1">
      <c r="B2" s="55" t="s">
        <v>51</v>
      </c>
      <c r="F2" s="72"/>
      <c r="H2" s="56"/>
      <c r="I2" s="56"/>
    </row>
    <row r="3" spans="2:9" ht="20">
      <c r="B3" s="57" t="s">
        <v>52</v>
      </c>
      <c r="F3" s="72"/>
      <c r="H3" s="56"/>
      <c r="I3" s="56"/>
    </row>
    <row r="4" spans="2:9" ht="11.25" customHeight="1">
      <c r="F4" s="72"/>
      <c r="H4" s="56"/>
      <c r="I4" s="56"/>
    </row>
    <row r="5" spans="2:9" ht="14.25" customHeight="1">
      <c r="B5" s="54" t="s">
        <v>53</v>
      </c>
    </row>
    <row r="6" spans="2:9" ht="14.25" customHeight="1">
      <c r="B6" s="54" t="s">
        <v>54</v>
      </c>
    </row>
    <row r="7" spans="2:9" ht="14.25" customHeight="1">
      <c r="B7" s="54" t="s">
        <v>55</v>
      </c>
    </row>
    <row r="8" spans="2:9" ht="12.75" customHeight="1" thickBot="1"/>
    <row r="9" spans="2:9" ht="16.5" thickTop="1" thickBot="1">
      <c r="C9" s="58" t="s">
        <v>56</v>
      </c>
      <c r="D9" s="59" t="s">
        <v>57</v>
      </c>
    </row>
    <row r="10" spans="2:9">
      <c r="C10" s="60" t="s">
        <v>1</v>
      </c>
      <c r="D10" s="61" t="s">
        <v>58</v>
      </c>
    </row>
    <row r="11" spans="2:9">
      <c r="C11" s="60" t="s">
        <v>2</v>
      </c>
      <c r="D11" s="61" t="s">
        <v>59</v>
      </c>
    </row>
    <row r="12" spans="2:9">
      <c r="C12" s="60" t="s">
        <v>3</v>
      </c>
      <c r="D12" s="61" t="s">
        <v>60</v>
      </c>
    </row>
    <row r="13" spans="2:9">
      <c r="C13" s="60" t="s">
        <v>4</v>
      </c>
      <c r="D13" s="61" t="s">
        <v>61</v>
      </c>
    </row>
    <row r="14" spans="2:9">
      <c r="C14" s="60" t="s">
        <v>5</v>
      </c>
      <c r="D14" s="61" t="s">
        <v>62</v>
      </c>
    </row>
    <row r="15" spans="2:9">
      <c r="C15" s="60" t="s">
        <v>63</v>
      </c>
      <c r="D15" s="61" t="s">
        <v>64</v>
      </c>
    </row>
    <row r="16" spans="2:9">
      <c r="C16" s="60" t="s">
        <v>6</v>
      </c>
      <c r="D16" s="61" t="s">
        <v>65</v>
      </c>
    </row>
    <row r="17" spans="3:4">
      <c r="C17" s="60" t="s">
        <v>7</v>
      </c>
      <c r="D17" s="61" t="s">
        <v>66</v>
      </c>
    </row>
    <row r="18" spans="3:4">
      <c r="C18" s="54" t="s">
        <v>8</v>
      </c>
      <c r="D18" s="61" t="s">
        <v>67</v>
      </c>
    </row>
    <row r="19" spans="3:4">
      <c r="C19" s="60" t="s">
        <v>68</v>
      </c>
      <c r="D19" s="61" t="s">
        <v>69</v>
      </c>
    </row>
    <row r="20" spans="3:4">
      <c r="C20" s="60" t="s">
        <v>70</v>
      </c>
      <c r="D20" s="61" t="s">
        <v>71</v>
      </c>
    </row>
    <row r="21" spans="3:4">
      <c r="C21" s="60" t="s">
        <v>9</v>
      </c>
      <c r="D21" s="61" t="s">
        <v>72</v>
      </c>
    </row>
    <row r="22" spans="3:4">
      <c r="C22" s="60" t="s">
        <v>10</v>
      </c>
      <c r="D22" s="61" t="s">
        <v>73</v>
      </c>
    </row>
    <row r="23" spans="3:4">
      <c r="C23" s="60" t="s">
        <v>11</v>
      </c>
      <c r="D23" s="61" t="s">
        <v>74</v>
      </c>
    </row>
    <row r="24" spans="3:4">
      <c r="C24" s="60" t="s">
        <v>12</v>
      </c>
      <c r="D24" s="61" t="s">
        <v>75</v>
      </c>
    </row>
    <row r="25" spans="3:4">
      <c r="C25" s="60" t="s">
        <v>13</v>
      </c>
      <c r="D25" s="61" t="s">
        <v>76</v>
      </c>
    </row>
    <row r="26" spans="3:4">
      <c r="C26" s="60" t="s">
        <v>14</v>
      </c>
      <c r="D26" s="61" t="s">
        <v>77</v>
      </c>
    </row>
    <row r="27" spans="3:4">
      <c r="C27" s="60" t="s">
        <v>15</v>
      </c>
      <c r="D27" s="61" t="s">
        <v>78</v>
      </c>
    </row>
    <row r="28" spans="3:4">
      <c r="C28" s="60" t="s">
        <v>16</v>
      </c>
      <c r="D28" s="61" t="s">
        <v>79</v>
      </c>
    </row>
    <row r="29" spans="3:4">
      <c r="C29" s="60" t="s">
        <v>17</v>
      </c>
      <c r="D29" s="61" t="s">
        <v>80</v>
      </c>
    </row>
    <row r="30" spans="3:4">
      <c r="C30" s="60" t="s">
        <v>18</v>
      </c>
      <c r="D30" s="61" t="s">
        <v>81</v>
      </c>
    </row>
    <row r="31" spans="3:4">
      <c r="C31" s="60" t="s">
        <v>19</v>
      </c>
      <c r="D31" s="61" t="s">
        <v>82</v>
      </c>
    </row>
    <row r="32" spans="3:4">
      <c r="C32" s="60" t="s">
        <v>20</v>
      </c>
      <c r="D32" s="61" t="s">
        <v>83</v>
      </c>
    </row>
    <row r="33" spans="3:4">
      <c r="C33" s="60" t="s">
        <v>84</v>
      </c>
      <c r="D33" s="61" t="s">
        <v>85</v>
      </c>
    </row>
    <row r="34" spans="3:4">
      <c r="C34" s="60" t="s">
        <v>21</v>
      </c>
      <c r="D34" s="61" t="s">
        <v>86</v>
      </c>
    </row>
    <row r="35" spans="3:4">
      <c r="C35" s="60" t="s">
        <v>22</v>
      </c>
      <c r="D35" s="61" t="s">
        <v>87</v>
      </c>
    </row>
    <row r="36" spans="3:4">
      <c r="C36" s="60" t="s">
        <v>23</v>
      </c>
      <c r="D36" s="61" t="s">
        <v>88</v>
      </c>
    </row>
    <row r="37" spans="3:4">
      <c r="C37" s="60" t="s">
        <v>24</v>
      </c>
      <c r="D37" s="61" t="s">
        <v>89</v>
      </c>
    </row>
    <row r="38" spans="3:4">
      <c r="C38" s="60" t="s">
        <v>25</v>
      </c>
      <c r="D38" s="61" t="s">
        <v>90</v>
      </c>
    </row>
    <row r="39" spans="3:4">
      <c r="C39" s="60" t="s">
        <v>26</v>
      </c>
      <c r="D39" s="61" t="s">
        <v>91</v>
      </c>
    </row>
    <row r="40" spans="3:4">
      <c r="C40" s="60" t="s">
        <v>27</v>
      </c>
      <c r="D40" s="61" t="s">
        <v>92</v>
      </c>
    </row>
    <row r="41" spans="3:4">
      <c r="C41" s="60" t="s">
        <v>28</v>
      </c>
      <c r="D41" s="61" t="s">
        <v>93</v>
      </c>
    </row>
    <row r="42" spans="3:4">
      <c r="C42" s="60" t="s">
        <v>29</v>
      </c>
      <c r="D42" s="61" t="s">
        <v>94</v>
      </c>
    </row>
    <row r="43" spans="3:4">
      <c r="C43" s="60" t="s">
        <v>30</v>
      </c>
      <c r="D43" s="61" t="s">
        <v>95</v>
      </c>
    </row>
    <row r="44" spans="3:4">
      <c r="C44" s="60" t="s">
        <v>96</v>
      </c>
      <c r="D44" s="61" t="s">
        <v>97</v>
      </c>
    </row>
    <row r="45" spans="3:4">
      <c r="C45" s="60" t="s">
        <v>31</v>
      </c>
      <c r="D45" s="61" t="s">
        <v>98</v>
      </c>
    </row>
    <row r="46" spans="3:4">
      <c r="C46" s="60" t="s">
        <v>32</v>
      </c>
      <c r="D46" s="61" t="s">
        <v>99</v>
      </c>
    </row>
    <row r="47" spans="3:4">
      <c r="C47" s="60" t="s">
        <v>33</v>
      </c>
      <c r="D47" s="61" t="s">
        <v>100</v>
      </c>
    </row>
    <row r="48" spans="3:4">
      <c r="C48" s="60" t="s">
        <v>34</v>
      </c>
      <c r="D48" s="61" t="s">
        <v>101</v>
      </c>
    </row>
    <row r="49" spans="3:4">
      <c r="C49" s="60" t="s">
        <v>102</v>
      </c>
      <c r="D49" s="61" t="s">
        <v>103</v>
      </c>
    </row>
    <row r="50" spans="3:4">
      <c r="C50" s="60" t="s">
        <v>35</v>
      </c>
      <c r="D50" s="61" t="s">
        <v>104</v>
      </c>
    </row>
    <row r="51" spans="3:4">
      <c r="C51" s="60" t="s">
        <v>36</v>
      </c>
      <c r="D51" s="61" t="s">
        <v>105</v>
      </c>
    </row>
    <row r="52" spans="3:4">
      <c r="C52" s="60" t="s">
        <v>37</v>
      </c>
      <c r="D52" s="61" t="s">
        <v>106</v>
      </c>
    </row>
    <row r="53" spans="3:4">
      <c r="C53" s="60" t="s">
        <v>38</v>
      </c>
      <c r="D53" s="61" t="s">
        <v>107</v>
      </c>
    </row>
    <row r="54" spans="3:4">
      <c r="C54" s="60" t="s">
        <v>39</v>
      </c>
      <c r="D54" s="61" t="s">
        <v>108</v>
      </c>
    </row>
    <row r="55" spans="3:4">
      <c r="C55" s="60" t="s">
        <v>40</v>
      </c>
      <c r="D55" s="61" t="s">
        <v>109</v>
      </c>
    </row>
    <row r="56" spans="3:4">
      <c r="C56" s="60" t="s">
        <v>110</v>
      </c>
      <c r="D56" s="61" t="s">
        <v>111</v>
      </c>
    </row>
    <row r="57" spans="3:4">
      <c r="C57" s="60" t="s">
        <v>41</v>
      </c>
      <c r="D57" s="61" t="s">
        <v>112</v>
      </c>
    </row>
    <row r="58" spans="3:4">
      <c r="C58" s="60" t="s">
        <v>42</v>
      </c>
      <c r="D58" s="61" t="s">
        <v>113</v>
      </c>
    </row>
    <row r="59" spans="3:4">
      <c r="C59" s="60" t="s">
        <v>43</v>
      </c>
      <c r="D59" s="61" t="s">
        <v>114</v>
      </c>
    </row>
    <row r="60" spans="3:4">
      <c r="C60" s="62" t="s">
        <v>44</v>
      </c>
      <c r="D60" s="63" t="s">
        <v>115</v>
      </c>
    </row>
    <row r="61" spans="3:4">
      <c r="C61" s="60" t="s">
        <v>45</v>
      </c>
      <c r="D61" s="61" t="s">
        <v>116</v>
      </c>
    </row>
    <row r="62" spans="3:4">
      <c r="C62" s="62" t="s">
        <v>46</v>
      </c>
      <c r="D62" s="63" t="s">
        <v>117</v>
      </c>
    </row>
    <row r="63" spans="3:4" ht="13" thickBot="1">
      <c r="C63" s="64" t="s">
        <v>47</v>
      </c>
      <c r="D63" s="65" t="s">
        <v>118</v>
      </c>
    </row>
    <row r="64" spans="3:4" ht="13" thickTop="1">
      <c r="C64" s="66"/>
    </row>
  </sheetData>
  <mergeCells count="1">
    <mergeCell ref="F2:F4"/>
  </mergeCells>
  <pageMargins left="0.75" right="0.5" top="0.75" bottom="0.5" header="0.5" footer="0.5"/>
  <pageSetup scale="85" fitToHeight="12" orientation="portrait" r:id="rId1"/>
  <headerFooter alignWithMargins="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869126D84FDD514BA3F28C62199CF255" ma:contentTypeVersion="22" ma:contentTypeDescription="Create a new document." ma:contentTypeScope="" ma:versionID="10f125210051a506d1584ec18f6af5df">
  <xsd:schema xmlns:xsd="http://www.w3.org/2001/XMLSchema" xmlns:xs="http://www.w3.org/2001/XMLSchema" xmlns:p="http://schemas.microsoft.com/office/2006/metadata/properties" xmlns:ns1="http://schemas.microsoft.com/sharepoint/v3" xmlns:ns2="4ffa91fb-a0ff-4ac5-b2db-65c790d184a4" xmlns:ns3="http://schemas.microsoft.com/sharepoint.v3" xmlns:ns4="http://schemas.microsoft.com/sharepoint/v3/fields" xmlns:ns5="57ac4d48-2eeb-46cd-9c42-48cc4c4e72e0" xmlns:ns6="042e8982-6c49-49e4-a280-2ba9bd13325e" targetNamespace="http://schemas.microsoft.com/office/2006/metadata/properties" ma:root="true" ma:fieldsID="8a7a527c0a01760e5f079938bf1f50b7" ns1:_="" ns2:_="" ns3:_="" ns4:_="" ns5:_="" ns6:_="">
    <xsd:import namespace="http://schemas.microsoft.com/sharepoint/v3"/>
    <xsd:import namespace="4ffa91fb-a0ff-4ac5-b2db-65c790d184a4"/>
    <xsd:import namespace="http://schemas.microsoft.com/sharepoint.v3"/>
    <xsd:import namespace="http://schemas.microsoft.com/sharepoint/v3/fields"/>
    <xsd:import namespace="57ac4d48-2eeb-46cd-9c42-48cc4c4e72e0"/>
    <xsd:import namespace="042e8982-6c49-49e4-a280-2ba9bd13325e"/>
    <xsd:element name="properties">
      <xsd:complexType>
        <xsd:sequence>
          <xsd:element name="documentManagement">
            <xsd:complexType>
              <xsd:all>
                <xsd:element ref="ns2:Document_x0020_Creation_x0020_Date" minOccurs="0"/>
                <xsd:element ref="ns2:Creator" minOccurs="0"/>
                <xsd:element ref="ns2:EPA_x0020_Office" minOccurs="0"/>
                <xsd:element ref="ns2:Record" minOccurs="0"/>
                <xsd:element ref="ns3:CategoryDescription" minOccurs="0"/>
                <xsd:element ref="ns2:Identifier" minOccurs="0"/>
                <xsd:element ref="ns2:EPA_x0020_Contributor" minOccurs="0"/>
                <xsd:element ref="ns2:External_x0020_Contributor" minOccurs="0"/>
                <xsd:element ref="ns4:_Coverage" minOccurs="0"/>
                <xsd:element ref="ns2:EPA_x0020_Related_x0020_Documents" minOccurs="0"/>
                <xsd:element ref="ns4:_Source" minOccurs="0"/>
                <xsd:element ref="ns2:Rights" minOccurs="0"/>
                <xsd:element ref="ns1:Language" minOccurs="0"/>
                <xsd:element ref="ns2:j747ac98061d40f0aa7bd47e1db5675d" minOccurs="0"/>
                <xsd:element ref="ns2:TaxKeywordTaxHTField" minOccurs="0"/>
                <xsd:element ref="ns2:TaxCatchAllLabel" minOccurs="0"/>
                <xsd:element ref="ns2:TaxCatchAll" minOccurs="0"/>
                <xsd:element ref="ns5:MediaServiceMetadata" minOccurs="0"/>
                <xsd:element ref="ns5:MediaServiceFastMetadata" minOccurs="0"/>
                <xsd:element ref="ns5:MediaServiceAutoTags" minOccurs="0"/>
                <xsd:element ref="ns5:MediaServiceOCR" minOccurs="0"/>
                <xsd:element ref="ns5:MediaServiceGenerationTime" minOccurs="0"/>
                <xsd:element ref="ns5:MediaServiceEventHashCode" minOccurs="0"/>
                <xsd:element ref="ns5:File_x0020_status" minOccurs="0"/>
                <xsd:element ref="ns5:MediaServiceDateTaken" minOccurs="0"/>
                <xsd:element ref="ns5:MediaServiceLocation" minOccurs="0"/>
                <xsd:element ref="ns6:SharedWithUsers" minOccurs="0"/>
                <xsd:element ref="ns6:SharedWithDetails" minOccurs="0"/>
                <xsd:element ref="ns1:_ip_UnifiedCompliancePolicyProperties" minOccurs="0"/>
                <xsd:element ref="ns1:_ip_UnifiedCompliancePolicyUIAction" minOccurs="0"/>
                <xsd:element ref="ns5:lcf76f155ced4ddcb4097134ff3c332f" minOccurs="0"/>
                <xsd:element ref="ns5: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Language" ma:index="17" nillable="true" ma:displayName="Language" ma:default="English" ma:description="Select the document language from the drop down." ma:format="Dropdown" ma:internalName="Language" ma:readOnly="false">
      <xsd:simpleType>
        <xsd:restriction base="dms:Choice">
          <xsd:enumeration value="Arabic (Saudi Arabia)"/>
          <xsd:enumeration value="Bulgarian (Bulgaria)"/>
          <xsd:enumeration value="Chinese (Hong Kong S.A.R.)"/>
          <xsd:enumeration value="Chinese (People's Republic of China)"/>
          <xsd:enumeration value="Chinese (Taiwan)"/>
          <xsd:enumeration value="Croatian (Croatia)"/>
          <xsd:enumeration value="Czech (Czech Republic)"/>
          <xsd:enumeration value="Danish (Denmark)"/>
          <xsd:enumeration value="Dutch (Netherlands)"/>
          <xsd:enumeration value="English"/>
          <xsd:enumeration value="Estonian (Estonia)"/>
          <xsd:enumeration value="Finnish (Finland)"/>
          <xsd:enumeration value="French (France)"/>
          <xsd:enumeration value="German (Germany)"/>
          <xsd:enumeration value="Greek (Greece)"/>
          <xsd:enumeration value="Hebrew (Israel)"/>
          <xsd:enumeration value="Hindi (India)"/>
          <xsd:enumeration value="Hungarian (Hungary)"/>
          <xsd:enumeration value="Indonesian (Indonesia)"/>
          <xsd:enumeration value="Italian (Italy)"/>
          <xsd:enumeration value="Japanese (Japan)"/>
          <xsd:enumeration value="Korean (Korea)"/>
          <xsd:enumeration value="Latvian (Latvia)"/>
          <xsd:enumeration value="Lithuanian (Lithuania)"/>
          <xsd:enumeration value="Malay (Malaysia)"/>
          <xsd:enumeration value="Norwegian (Bokmal) (Norway)"/>
          <xsd:enumeration value="Polish (Poland)"/>
          <xsd:enumeration value="Portuguese (Brazil)"/>
          <xsd:enumeration value="Portuguese (Portugal)"/>
          <xsd:enumeration value="Romanian (Romania)"/>
          <xsd:enumeration value="Russian (Russia)"/>
          <xsd:enumeration value="Serbian (Latin) (Serbia)"/>
          <xsd:enumeration value="Slovak (Slovakia)"/>
          <xsd:enumeration value="Slovenian (Slovenia)"/>
          <xsd:enumeration value="Spanish (Spain)"/>
          <xsd:enumeration value="Swedish (Sweden)"/>
          <xsd:enumeration value="Thai (Thailand)"/>
          <xsd:enumeration value="Turkish (Turkey)"/>
          <xsd:enumeration value="Ukrainian (Ukraine)"/>
          <xsd:enumeration value="Urdu (Islamic Republic of Pakistan)"/>
          <xsd:enumeration value="Vietnamese (Vietnam)"/>
        </xsd:restriction>
      </xsd:simpleType>
    </xsd:element>
    <xsd:element name="_ip_UnifiedCompliancePolicyProperties" ma:index="39" nillable="true" ma:displayName="Unified Compliance Policy Properties" ma:hidden="true" ma:internalName="_ip_UnifiedCompliancePolicyProperties">
      <xsd:simpleType>
        <xsd:restriction base="dms:Note"/>
      </xsd:simpleType>
    </xsd:element>
    <xsd:element name="_ip_UnifiedCompliancePolicyUIAction" ma:index="40"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ffa91fb-a0ff-4ac5-b2db-65c790d184a4" elementFormDefault="qualified">
    <xsd:import namespace="http://schemas.microsoft.com/office/2006/documentManagement/types"/>
    <xsd:import namespace="http://schemas.microsoft.com/office/infopath/2007/PartnerControls"/>
    <xsd:element name="Document_x0020_Creation_x0020_Date" ma:index="2" nillable="true" ma:displayName="Document Date" ma:default="[today]" ma:description="Enter the date this document was last modified. The upload date has been entered by default." ma:format="DateOnly" ma:internalName="Document_x0020_Creation_x0020_Date" ma:readOnly="false">
      <xsd:simpleType>
        <xsd:restriction base="dms:DateTime"/>
      </xsd:simpleType>
    </xsd:element>
    <xsd:element name="Creator" ma:index="3" nillable="true" ma:displayName="Creator" ma:description="Enter the person primarily responsible for the document. The name of the person uploading the document has been entered by default." ma:list="UserInfo" ma:SharePointGroup="0" ma:internalName="Creator" ma:readOnly="false" ma:showField="ImnNam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EPA_x0020_Office" ma:index="4" nillable="true" ma:displayName="EPA Office" ma:description="Enter the EPA organization primarily responsible for the document. The office of the person uploading the document has been entered by default." ma:internalName="EPA_x0020_Office" ma:readOnly="false">
      <xsd:simpleType>
        <xsd:restriction base="dms:Text">
          <xsd:maxLength value="255"/>
        </xsd:restriction>
      </xsd:simpleType>
    </xsd:element>
    <xsd:element name="Record" ma:index="5" nillable="true" ma:displayName="Record" ma:default="Shared" ma:description="For documents that provide evidence of EPA decisions and actions, select &quot;Shared&quot; (open access) or &quot;Private&quot; (restricted access)." ma:format="Dropdown" ma:internalName="Record">
      <xsd:simpleType>
        <xsd:restriction base="dms:Choice">
          <xsd:enumeration value="None"/>
          <xsd:enumeration value="Shared"/>
          <xsd:enumeration value="Private"/>
        </xsd:restriction>
      </xsd:simpleType>
    </xsd:element>
    <xsd:element name="Identifier" ma:index="9" nillable="true" ma:displayName="Identifier" ma:description="Enter all EPA identification numbers applicable to this document, one on each line." ma:internalName="Identifier" ma:readOnly="false">
      <xsd:simpleType>
        <xsd:restriction base="dms:Note">
          <xsd:maxLength value="255"/>
        </xsd:restriction>
      </xsd:simpleType>
    </xsd:element>
    <xsd:element name="EPA_x0020_Contributor" ma:index="11" nillable="true" ma:displayName="EPA Contributor" ma:description="Enter an EPA person who contributed to the creation of the document but is not the primary author." ma:list="UserInfo" ma:SharePointGroup="0" ma:internalName="EPA_x0020_Contributor" ma:readOnly="false" ma:showField="ImnNam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External_x0020_Contributor" ma:index="12" nillable="true" ma:displayName="External Contributor" ma:description="Enter a non-EPA person who contributed to the creation of the document but is not the primary author." ma:internalName="External_x0020_Contributor" ma:readOnly="false">
      <xsd:simpleType>
        <xsd:restriction base="dms:Note">
          <xsd:maxLength value="255"/>
        </xsd:restriction>
      </xsd:simpleType>
    </xsd:element>
    <xsd:element name="EPA_x0020_Related_x0020_Documents" ma:index="14" nillable="true" ma:displayName="Other Related Documents" ma:description="Enter any related document." ma:internalName="EPA_x0020_Related_x0020_Documents" ma:readOnly="false">
      <xsd:simpleType>
        <xsd:restriction base="dms:Note">
          <xsd:maxLength value="255"/>
        </xsd:restriction>
      </xsd:simpleType>
    </xsd:element>
    <xsd:element name="Rights" ma:index="16" nillable="true" ma:displayName="Rights" ma:description="Enter information about intellectual property rights held over the document (e.g. copyright, patent, trademark)." ma:internalName="Rights" ma:readOnly="false">
      <xsd:simpleType>
        <xsd:restriction base="dms:Note">
          <xsd:maxLength value="255"/>
        </xsd:restriction>
      </xsd:simpleType>
    </xsd:element>
    <xsd:element name="j747ac98061d40f0aa7bd47e1db5675d" ma:index="19" nillable="true" ma:taxonomy="true" ma:internalName="j747ac98061d40f0aa7bd47e1db5675d" ma:taxonomyFieldName="Document_x0020_Type" ma:displayName="Document Type" ma:readOnly="false" ma:default="" ma:fieldId="{3747ac98-061d-40f0-aa7b-d47e1db5675d}" ma:sspId="29f62856-1543-49d4-a736-4569d363f533" ma:termSetId="e06cd6a9-a175-4da0-81cb-8dba7aa394ab" ma:anchorId="00000000-0000-0000-0000-000000000000" ma:open="false" ma:isKeyword="false">
      <xsd:complexType>
        <xsd:sequence>
          <xsd:element ref="pc:Terms" minOccurs="0" maxOccurs="1"/>
        </xsd:sequence>
      </xsd:complexType>
    </xsd:element>
    <xsd:element name="TaxKeywordTaxHTField" ma:index="21" nillable="true" ma:taxonomy="true" ma:internalName="TaxKeywordTaxHTField" ma:taxonomyFieldName="TaxKeyword" ma:displayName="Enterprise Keywords" ma:readOnly="false" ma:fieldId="{23f27201-bee3-471e-b2e7-b64fd8b7ca38}" ma:taxonomyMulti="true" ma:sspId="29f62856-1543-49d4-a736-4569d363f533" ma:termSetId="00000000-0000-0000-0000-000000000000" ma:anchorId="00000000-0000-0000-0000-000000000000" ma:open="true" ma:isKeyword="true">
      <xsd:complexType>
        <xsd:sequence>
          <xsd:element ref="pc:Terms" minOccurs="0" maxOccurs="1"/>
        </xsd:sequence>
      </xsd:complexType>
    </xsd:element>
    <xsd:element name="TaxCatchAllLabel" ma:index="23" nillable="true" ma:displayName="Taxonomy Catch All Column1" ma:hidden="true" ma:list="{789c3843-6e7c-49e8-a4b9-846446fe4434}" ma:internalName="TaxCatchAllLabel" ma:readOnly="true" ma:showField="CatchAllDataLabel" ma:web="042e8982-6c49-49e4-a280-2ba9bd13325e">
      <xsd:complexType>
        <xsd:complexContent>
          <xsd:extension base="dms:MultiChoiceLookup">
            <xsd:sequence>
              <xsd:element name="Value" type="dms:Lookup" maxOccurs="unbounded" minOccurs="0" nillable="true"/>
            </xsd:sequence>
          </xsd:extension>
        </xsd:complexContent>
      </xsd:complexType>
    </xsd:element>
    <xsd:element name="TaxCatchAll" ma:index="24" nillable="true" ma:displayName="Taxonomy Catch All Column" ma:hidden="true" ma:list="{789c3843-6e7c-49e8-a4b9-846446fe4434}" ma:internalName="TaxCatchAll" ma:showField="CatchAllData" ma:web="042e8982-6c49-49e4-a280-2ba9bd13325e">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CategoryDescription" ma:index="6" nillable="true" ma:displayName="Description" ma:description="Enter a brief description." ma:internalName="CategoryDescription" ma:readOnly="fals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fields" elementFormDefault="qualified">
    <xsd:import namespace="http://schemas.microsoft.com/office/2006/documentManagement/types"/>
    <xsd:import namespace="http://schemas.microsoft.com/office/infopath/2007/PartnerControls"/>
    <xsd:element name="_Coverage" ma:index="13" nillable="true" ma:displayName="Coverage" ma:description="Enter the geographic location, jurisdiction, or time period for which the document is relevant." ma:internalName="_Coverage" ma:readOnly="false">
      <xsd:simpleType>
        <xsd:restriction base="dms:Text">
          <xsd:maxLength value="255"/>
        </xsd:restriction>
      </xsd:simpleType>
    </xsd:element>
    <xsd:element name="_Source" ma:index="15" nillable="true" ma:displayName="Source" ma:description="Enter a source from which the document is derived." ma:internalName="_Source" ma:readOnly="fals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57ac4d48-2eeb-46cd-9c42-48cc4c4e72e0" elementFormDefault="qualified">
    <xsd:import namespace="http://schemas.microsoft.com/office/2006/documentManagement/types"/>
    <xsd:import namespace="http://schemas.microsoft.com/office/infopath/2007/PartnerControls"/>
    <xsd:element name="MediaServiceMetadata" ma:index="28" nillable="true" ma:displayName="MediaServiceMetadata" ma:hidden="true" ma:internalName="MediaServiceMetadata" ma:readOnly="true">
      <xsd:simpleType>
        <xsd:restriction base="dms:Note"/>
      </xsd:simpleType>
    </xsd:element>
    <xsd:element name="MediaServiceFastMetadata" ma:index="29" nillable="true" ma:displayName="MediaServiceFastMetadata" ma:hidden="true" ma:internalName="MediaServiceFastMetadata" ma:readOnly="true">
      <xsd:simpleType>
        <xsd:restriction base="dms:Note"/>
      </xsd:simpleType>
    </xsd:element>
    <xsd:element name="MediaServiceAutoTags" ma:index="30" nillable="true" ma:displayName="Tags" ma:internalName="MediaServiceAutoTags" ma:readOnly="true">
      <xsd:simpleType>
        <xsd:restriction base="dms:Text"/>
      </xsd:simpleType>
    </xsd:element>
    <xsd:element name="MediaServiceOCR" ma:index="31" nillable="true" ma:displayName="Extracted Text" ma:internalName="MediaServiceOCR" ma:readOnly="true">
      <xsd:simpleType>
        <xsd:restriction base="dms:Note">
          <xsd:maxLength value="255"/>
        </xsd:restriction>
      </xsd:simpleType>
    </xsd:element>
    <xsd:element name="MediaServiceGenerationTime" ma:index="32" nillable="true" ma:displayName="MediaServiceGenerationTime" ma:hidden="true" ma:internalName="MediaServiceGenerationTime" ma:readOnly="true">
      <xsd:simpleType>
        <xsd:restriction base="dms:Text"/>
      </xsd:simpleType>
    </xsd:element>
    <xsd:element name="MediaServiceEventHashCode" ma:index="33" nillable="true" ma:displayName="MediaServiceEventHashCode" ma:hidden="true" ma:internalName="MediaServiceEventHashCode" ma:readOnly="true">
      <xsd:simpleType>
        <xsd:restriction base="dms:Text"/>
      </xsd:simpleType>
    </xsd:element>
    <xsd:element name="File_x0020_status" ma:index="34" nillable="true" ma:displayName="File status" ma:format="RadioButtons" ma:internalName="File_x0020_status">
      <xsd:simpleType>
        <xsd:restriction base="dms:Choice">
          <xsd:enumeration value="Ready for EPA review"/>
          <xsd:enumeration value="Ready for document compilation team"/>
          <xsd:enumeration value="Needs updating by SL"/>
        </xsd:restriction>
      </xsd:simpleType>
    </xsd:element>
    <xsd:element name="MediaServiceDateTaken" ma:index="35" nillable="true" ma:displayName="MediaServiceDateTaken" ma:hidden="true" ma:internalName="MediaServiceDateTaken" ma:readOnly="true">
      <xsd:simpleType>
        <xsd:restriction base="dms:Text"/>
      </xsd:simpleType>
    </xsd:element>
    <xsd:element name="MediaServiceLocation" ma:index="36" nillable="true" ma:displayName="Location" ma:internalName="MediaServiceLocation" ma:readOnly="true">
      <xsd:simpleType>
        <xsd:restriction base="dms:Text"/>
      </xsd:simpleType>
    </xsd:element>
    <xsd:element name="lcf76f155ced4ddcb4097134ff3c332f" ma:index="42" nillable="true" ma:taxonomy="true" ma:internalName="lcf76f155ced4ddcb4097134ff3c332f" ma:taxonomyFieldName="MediaServiceImageTags" ma:displayName="Image Tags" ma:readOnly="false" ma:fieldId="{5cf76f15-5ced-4ddc-b409-7134ff3c332f}" ma:taxonomyMulti="true" ma:sspId="29f62856-1543-49d4-a736-4569d363f533"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43" nillable="true" ma:displayName="MediaServiceObjectDetectorVersions" ma:description=""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42e8982-6c49-49e4-a280-2ba9bd13325e" elementFormDefault="qualified">
    <xsd:import namespace="http://schemas.microsoft.com/office/2006/documentManagement/types"/>
    <xsd:import namespace="http://schemas.microsoft.com/office/infopath/2007/PartnerControls"/>
    <xsd:element name="SharedWithUsers" ma:index="3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38"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25"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haredContentType xmlns="Microsoft.SharePoint.Taxonomy.ContentTypeSync" SourceId="29f62856-1543-49d4-a736-4569d363f533" ContentTypeId="0x0101" PreviousValue="false"/>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6F37A36C-FFF0-44AB-9BB4-45F1BDF3AF81}"/>
</file>

<file path=customXml/itemProps2.xml><?xml version="1.0" encoding="utf-8"?>
<ds:datastoreItem xmlns:ds="http://schemas.openxmlformats.org/officeDocument/2006/customXml" ds:itemID="{A5A2DA4A-57A1-48D3-9E3D-1D26680A5E2B}"/>
</file>

<file path=customXml/itemProps3.xml><?xml version="1.0" encoding="utf-8"?>
<ds:datastoreItem xmlns:ds="http://schemas.openxmlformats.org/officeDocument/2006/customXml" ds:itemID="{D32D50B2-3A13-4A30-9A9C-CDA44CC5D3B6}"/>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2</vt:i4>
      </vt:variant>
    </vt:vector>
  </HeadingPairs>
  <TitlesOfParts>
    <vt:vector size="5" baseType="lpstr">
      <vt:lpstr>Sheet1</vt:lpstr>
      <vt:lpstr>MF-225</vt:lpstr>
      <vt:lpstr>State Codes</vt:lpstr>
      <vt:lpstr>'MF-225'!Print_Titles</vt:lpstr>
      <vt:lpstr>'State Codes'!Print_Titles</vt:lpstr>
    </vt:vector>
  </TitlesOfParts>
  <Company>DOT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USDOT_User</dc:creator>
  <cp:lastModifiedBy>Camobreco, Vincent</cp:lastModifiedBy>
  <cp:lastPrinted>2020-10-16T19:52:49Z</cp:lastPrinted>
  <dcterms:created xsi:type="dcterms:W3CDTF">2014-01-29T21:16:11Z</dcterms:created>
  <dcterms:modified xsi:type="dcterms:W3CDTF">2023-05-22T13:55:28Z</dcterms:modified>
</cp:coreProperties>
</file>